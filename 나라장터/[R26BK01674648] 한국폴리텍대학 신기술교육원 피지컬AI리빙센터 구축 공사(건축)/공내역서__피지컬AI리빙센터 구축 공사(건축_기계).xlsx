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HK\Desktop\AI공장★\★★공사★★★\2)공고-내부결재일상감사(건축, 전기)\1)소액수의공고-건축\"/>
    </mc:Choice>
  </mc:AlternateContent>
  <xr:revisionPtr revIDLastSave="0" documentId="13_ncr:1_{23721CF7-A046-47E2-81B8-C5A3FD68D6D5}" xr6:coauthVersionLast="36" xr6:coauthVersionMax="36" xr10:uidLastSave="{00000000-0000-0000-0000-000000000000}"/>
  <bookViews>
    <workbookView xWindow="120" yWindow="30" windowWidth="23655" windowHeight="12285" xr2:uid="{00000000-000D-0000-FFFF-FFFF00000000}"/>
  </bookViews>
  <sheets>
    <sheet name="공종별집계표" sheetId="7" r:id="rId1"/>
    <sheet name="공종별내역서" sheetId="6" r:id="rId2"/>
  </sheets>
  <definedNames>
    <definedName name="_xlnm.Print_Area" localSheetId="1">공종별내역서!$A$1:$M$51</definedName>
    <definedName name="_xlnm.Print_Area" localSheetId="0">공종별집계표!$A$1:$M$27</definedName>
    <definedName name="_xlnm.Print_Titles" localSheetId="1">공종별내역서!$1:$3</definedName>
    <definedName name="_xlnm.Print_Titles" localSheetId="0">공종별집계표!$1:$4</definedName>
  </definedNames>
  <calcPr calcId="191029" iterateDelta="0"/>
</workbook>
</file>

<file path=xl/calcChain.xml><?xml version="1.0" encoding="utf-8"?>
<calcChain xmlns="http://schemas.openxmlformats.org/spreadsheetml/2006/main">
  <c r="H51" i="6" l="1"/>
  <c r="J27" i="6"/>
  <c r="H27" i="6"/>
  <c r="H27" i="7" s="1"/>
  <c r="J51" i="6"/>
  <c r="J27" i="7" l="1"/>
  <c r="F51" i="6" l="1"/>
  <c r="L51" i="6"/>
  <c r="L27" i="6" l="1"/>
  <c r="F27" i="6"/>
  <c r="L27" i="7" l="1"/>
  <c r="F27" i="7"/>
</calcChain>
</file>

<file path=xl/sharedStrings.xml><?xml version="1.0" encoding="utf-8"?>
<sst xmlns="http://schemas.openxmlformats.org/spreadsheetml/2006/main" count="460" uniqueCount="151">
  <si>
    <t>공 종 별 집 계 표</t>
  </si>
  <si>
    <t>[ 피지컬 AI리빙센터 구축 기계설비공사 ]</t>
  </si>
  <si>
    <t>품      명</t>
  </si>
  <si>
    <t>규      격</t>
  </si>
  <si>
    <t>단위</t>
  </si>
  <si>
    <t>수량</t>
  </si>
  <si>
    <t>재  료  비</t>
  </si>
  <si>
    <t>단  가</t>
  </si>
  <si>
    <t>금  액</t>
  </si>
  <si>
    <t>노  무  비</t>
  </si>
  <si>
    <t>경      비</t>
  </si>
  <si>
    <t>합      계</t>
  </si>
  <si>
    <t>비  고</t>
  </si>
  <si>
    <t>공종코드</t>
  </si>
  <si>
    <t>변수</t>
  </si>
  <si>
    <t>상위공종</t>
  </si>
  <si>
    <t>공종구분</t>
  </si>
  <si>
    <t>공종레벨</t>
  </si>
  <si>
    <t>공종소계</t>
  </si>
  <si>
    <t>원가계산서 연결금액</t>
  </si>
  <si>
    <t>품목코드</t>
  </si>
  <si>
    <t>설정</t>
  </si>
  <si>
    <t>일위</t>
  </si>
  <si>
    <t>단산</t>
  </si>
  <si>
    <t>자재</t>
  </si>
  <si>
    <t>손료적용</t>
  </si>
  <si>
    <t>손료저장</t>
  </si>
  <si>
    <t>적용율</t>
  </si>
  <si>
    <t>JUK1</t>
  </si>
  <si>
    <t>JUK2</t>
  </si>
  <si>
    <t>JUK3</t>
  </si>
  <si>
    <t>JUK4</t>
  </si>
  <si>
    <t>JUK5</t>
  </si>
  <si>
    <t>JUK6</t>
  </si>
  <si>
    <t>JUK7</t>
  </si>
  <si>
    <t>JUK8</t>
  </si>
  <si>
    <t>JUK9</t>
  </si>
  <si>
    <t>JUK10</t>
  </si>
  <si>
    <t>JUK11</t>
  </si>
  <si>
    <t>JUK12</t>
  </si>
  <si>
    <t>JUK13</t>
  </si>
  <si>
    <t>JUK14</t>
  </si>
  <si>
    <t>JUK15</t>
  </si>
  <si>
    <t>JUK16</t>
  </si>
  <si>
    <t>JUK17</t>
  </si>
  <si>
    <t>JUK18</t>
  </si>
  <si>
    <t>JUK19</t>
  </si>
  <si>
    <t>JUK20</t>
  </si>
  <si>
    <t>자재구분</t>
  </si>
  <si>
    <t>공종+자재</t>
  </si>
  <si>
    <t>고유번호</t>
  </si>
  <si>
    <t>01  피지컬 AI리빙센터 구축 기계설비공사</t>
  </si>
  <si>
    <t/>
  </si>
  <si>
    <t>01</t>
  </si>
  <si>
    <t>0101  위생배관공사</t>
  </si>
  <si>
    <t>0101</t>
  </si>
  <si>
    <t>동관옥내배관(L-TYPE)</t>
  </si>
  <si>
    <t>D25</t>
  </si>
  <si>
    <t>M</t>
  </si>
  <si>
    <t>51DE92F055C0B85BAC18F77D5A8544</t>
  </si>
  <si>
    <t>T</t>
  </si>
  <si>
    <t>F</t>
  </si>
  <si>
    <t>010151DE92F055C0B85BAC18F77D5A8544</t>
  </si>
  <si>
    <t>관보온(아티론. 슈퍼매직303)</t>
  </si>
  <si>
    <t>25t*D25</t>
  </si>
  <si>
    <t>51DEF2505F6598122DFA370E6A034B</t>
  </si>
  <si>
    <t>010151DEF2505F6598122DFA370E6A034B</t>
  </si>
  <si>
    <t>동관이음쇠</t>
  </si>
  <si>
    <t>동관이음쇠, ∮25mm, 동엘보</t>
  </si>
  <si>
    <t>개</t>
  </si>
  <si>
    <t>5649A2405398B8C60D3D6750CF2A9FC211D716</t>
  </si>
  <si>
    <t>01015649A2405398B8C60D3D6750CF2A9FC211D716</t>
  </si>
  <si>
    <t>동관이음쇠, ∮32mm, 동티</t>
  </si>
  <si>
    <t>5649A2405398B8C60D3D6750CF2A9FC211D3B8</t>
  </si>
  <si>
    <t>01015649A2405398B8C60D3D6750CF2A9FC211D3B8</t>
  </si>
  <si>
    <t>동관이음쇠, ∮32mm, 동리듀서</t>
  </si>
  <si>
    <t>5649A2405398B8C60D3D6750CF2A9FC211D18D</t>
  </si>
  <si>
    <t>01015649A2405398B8C60D3D6750CF2A9FC211D18D</t>
  </si>
  <si>
    <t>동관이음쇠, ∮25mm, 동소켓</t>
  </si>
  <si>
    <t>5649A2405398B8C60D3D6750CF2A9FC211DE47</t>
  </si>
  <si>
    <t>01015649A2405398B8C60D3D6750CF2A9FC211DE47</t>
  </si>
  <si>
    <t>동관이음쇠, ∮25mm, 동유니언, C+M</t>
  </si>
  <si>
    <t>5649A2405398B8C60D3D6750CF2A9FC212FFCE</t>
  </si>
  <si>
    <t>01015649A2405398B8C60D3D6750CF2A9FC212FFCE</t>
  </si>
  <si>
    <t>동관이음쇠, ∮25mm, 황동어댑터, C*M</t>
  </si>
  <si>
    <t>5649A2405398B8C60D3D6750CF2A9FC33E0B4E</t>
  </si>
  <si>
    <t>01015649A2405398B8C60D3D6750CF2A9FC33E0B4E</t>
  </si>
  <si>
    <t>볼밸브설치(스텐, 10kg)</t>
  </si>
  <si>
    <t>51DED21050A57802C51197EAA18671</t>
  </si>
  <si>
    <t>010151DED21050A57802C51197EAA18671</t>
  </si>
  <si>
    <t>절연행가(달대볼트)</t>
  </si>
  <si>
    <t>개소</t>
  </si>
  <si>
    <t>51DE3200599C98EDCAD1E74B438D91</t>
  </si>
  <si>
    <t>010151DE3200599C98EDCAD1E74B438D91</t>
  </si>
  <si>
    <t>천장텍스 철거 후 재설치</t>
  </si>
  <si>
    <t>2026년 건축단가 적용(텍스 재사용)</t>
  </si>
  <si>
    <t>㎡</t>
  </si>
  <si>
    <t>51DEE2705550586B832E1755F665C1</t>
  </si>
  <si>
    <t>010151DEE2705550586B832E1755F665C1</t>
  </si>
  <si>
    <t>경질염화비닐관(접착제)</t>
  </si>
  <si>
    <t>PVC관(VG1), D100</t>
  </si>
  <si>
    <t>51DE92F05C7508C68F6EE7EBF64D6F</t>
  </si>
  <si>
    <t>010151DE92F05C7508C68F6EE7EBF64D6F</t>
  </si>
  <si>
    <t>일반용경질폴리염화비닐이음관</t>
  </si>
  <si>
    <t>∮100mm, 90˚단곡관(DTS)</t>
  </si>
  <si>
    <t>5649A2405398B8C60D3D9724AECA5413C62819</t>
  </si>
  <si>
    <t>01015649A2405398B8C60D3D9724AECA5413C62819</t>
  </si>
  <si>
    <t>∮100mm, 45˚단곡관, DL</t>
  </si>
  <si>
    <t>5649A2405398B8C60D3D9724AEC2079BD77BE3</t>
  </si>
  <si>
    <t>01015649A2405398B8C60D3D9724AEC2079BD77BE3</t>
  </si>
  <si>
    <t>일반용경질폴리염화비닐이음관, ∮100mm, 90˚YT관, LT</t>
  </si>
  <si>
    <t>5649A2405398B8C60D3D9724AEC2079BD77D90</t>
  </si>
  <si>
    <t>01015649A2405398B8C60D3D9724AEC2079BD77D90</t>
  </si>
  <si>
    <t>구멍뚫기(코아드릴)</t>
  </si>
  <si>
    <t>D150, 콘크리트 300mm,벽체</t>
  </si>
  <si>
    <t>51DE12C052DA280CED4557A106FEA6</t>
  </si>
  <si>
    <t>010151DE12C052DA280CED4557A106FEA6</t>
  </si>
  <si>
    <t>관통관 방화실리콘시트마감(내화충진재설치)</t>
  </si>
  <si>
    <t>D150</t>
  </si>
  <si>
    <t>51DE12C055ACD850954A87852127E4</t>
  </si>
  <si>
    <t>010151DE12C055ACD850954A87852127E4</t>
  </si>
  <si>
    <t>인력터파기</t>
  </si>
  <si>
    <t>보통토사, 1∼2m</t>
  </si>
  <si>
    <t>M3</t>
  </si>
  <si>
    <t>511982D0571C686623552747C5676B</t>
  </si>
  <si>
    <t>0101511982D0571C686623552747C5676B</t>
  </si>
  <si>
    <t>되메우고 다지기</t>
  </si>
  <si>
    <t>토사, 다짐두께 15cm</t>
  </si>
  <si>
    <t>511982D051F568D55A8C87BD5D2310</t>
  </si>
  <si>
    <t>0101511982D051F568D55A8C87BD5D2310</t>
  </si>
  <si>
    <t>[ 합           계 ]</t>
  </si>
  <si>
    <t>TOTAL</t>
  </si>
  <si>
    <t>0102  냉난방기 공사</t>
  </si>
  <si>
    <t>0102</t>
  </si>
  <si>
    <t>천장형 냉난방기 실내기 이전설치</t>
  </si>
  <si>
    <t>대</t>
  </si>
  <si>
    <t>51DEE2705550586B832E1755F4BFBD</t>
  </si>
  <si>
    <t>010251DEE2705550586B832E1755F4BFBD</t>
  </si>
  <si>
    <t>멀티형냉난방기 실내기 이전설치(실외기 시운전)</t>
  </si>
  <si>
    <t>대당(진공작업, 냉매충진 등)</t>
  </si>
  <si>
    <t>51DEE2705550586B832E1755F4B1DC</t>
  </si>
  <si>
    <t>010251DEE2705550586B832E1755F4B1DC</t>
  </si>
  <si>
    <t>유선리모컨 이전 설치</t>
  </si>
  <si>
    <t>유선리모컨, 버튼형(일반형)</t>
  </si>
  <si>
    <t>51DE22205518C82F89A3177460221B</t>
  </si>
  <si>
    <t>010251DE22205518C82F89A3177460221B</t>
  </si>
  <si>
    <t>냉난방공조공사, 룸컨트롤러세트용전선 및 전선관 설치</t>
  </si>
  <si>
    <t>제어케이블 F-CVV-S, 3C 1.5mm2, CD 16C</t>
  </si>
  <si>
    <t>m</t>
  </si>
  <si>
    <t>51DE22205518C82F89A3177461C796</t>
  </si>
  <si>
    <t>010251DE22205518C82F89A3177461C796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</si>
</sst>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5" x14ac:knownFonts="1">
    <font>
      <sz val="11"/>
      <color theme="1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/>
    </xf>
    <xf numFmtId="0" fontId="1" fillId="0" borderId="0" xfId="0" quotePrefix="1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0" fillId="0" borderId="1" xfId="0" quotePrefix="1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vertical="center"/>
    </xf>
    <xf numFmtId="0" fontId="2" fillId="0" borderId="4" xfId="0" quotePrefix="1" applyFont="1" applyBorder="1" applyAlignment="1">
      <alignment horizontal="center" vertical="center" wrapText="1"/>
    </xf>
    <xf numFmtId="0" fontId="4" fillId="0" borderId="4" xfId="0" quotePrefix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76" fontId="4" fillId="0" borderId="4" xfId="0" applyNumberFormat="1" applyFont="1" applyBorder="1" applyAlignment="1">
      <alignment vertical="center" wrapText="1"/>
    </xf>
    <xf numFmtId="0" fontId="0" fillId="0" borderId="4" xfId="0" quotePrefix="1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176" fontId="0" fillId="0" borderId="4" xfId="0" applyNumberFormat="1" applyFont="1" applyBorder="1" applyAlignment="1">
      <alignment vertical="center" wrapText="1"/>
    </xf>
    <xf numFmtId="0" fontId="0" fillId="0" borderId="0" xfId="0" quotePrefix="1">
      <alignment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7"/>
  <sheetViews>
    <sheetView tabSelected="1" view="pageBreakPreview" zoomScale="85" zoomScaleNormal="100" zoomScaleSheetLayoutView="85" workbookViewId="0">
      <selection activeCell="B6" sqref="B6"/>
    </sheetView>
  </sheetViews>
  <sheetFormatPr defaultRowHeight="16.5" x14ac:dyDescent="0.3"/>
  <cols>
    <col min="1" max="1" width="40.625" customWidth="1"/>
    <col min="2" max="2" width="20.625" customWidth="1"/>
    <col min="3" max="4" width="4.625" customWidth="1"/>
    <col min="5" max="12" width="13.625" customWidth="1"/>
    <col min="13" max="13" width="12.625" customWidth="1"/>
    <col min="14" max="16" width="2.625" hidden="1" customWidth="1"/>
    <col min="17" max="19" width="1.625" hidden="1" customWidth="1"/>
    <col min="20" max="20" width="18.625" hidden="1" customWidth="1"/>
  </cols>
  <sheetData>
    <row r="1" spans="1:20" ht="30" customHeigh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20" ht="30" customHeigh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spans="1:20" ht="30" customHeight="1" x14ac:dyDescent="0.3">
      <c r="A3" s="20" t="s">
        <v>2</v>
      </c>
      <c r="B3" s="20" t="s">
        <v>3</v>
      </c>
      <c r="C3" s="20" t="s">
        <v>4</v>
      </c>
      <c r="D3" s="20" t="s">
        <v>5</v>
      </c>
      <c r="E3" s="20" t="s">
        <v>6</v>
      </c>
      <c r="F3" s="20"/>
      <c r="G3" s="20" t="s">
        <v>9</v>
      </c>
      <c r="H3" s="20"/>
      <c r="I3" s="20" t="s">
        <v>10</v>
      </c>
      <c r="J3" s="20"/>
      <c r="K3" s="20" t="s">
        <v>11</v>
      </c>
      <c r="L3" s="20"/>
      <c r="M3" s="20" t="s">
        <v>12</v>
      </c>
      <c r="N3" s="19" t="s">
        <v>13</v>
      </c>
      <c r="O3" s="19" t="s">
        <v>14</v>
      </c>
      <c r="P3" s="19" t="s">
        <v>15</v>
      </c>
      <c r="Q3" s="19" t="s">
        <v>16</v>
      </c>
      <c r="R3" s="19" t="s">
        <v>17</v>
      </c>
      <c r="S3" s="19" t="s">
        <v>18</v>
      </c>
      <c r="T3" s="19" t="s">
        <v>19</v>
      </c>
    </row>
    <row r="4" spans="1:20" ht="30" customHeight="1" x14ac:dyDescent="0.3">
      <c r="A4" s="21"/>
      <c r="B4" s="21"/>
      <c r="C4" s="21"/>
      <c r="D4" s="21"/>
      <c r="E4" s="12" t="s">
        <v>7</v>
      </c>
      <c r="F4" s="12" t="s">
        <v>8</v>
      </c>
      <c r="G4" s="12" t="s">
        <v>7</v>
      </c>
      <c r="H4" s="12" t="s">
        <v>8</v>
      </c>
      <c r="I4" s="12" t="s">
        <v>7</v>
      </c>
      <c r="J4" s="12" t="s">
        <v>8</v>
      </c>
      <c r="K4" s="12" t="s">
        <v>7</v>
      </c>
      <c r="L4" s="12" t="s">
        <v>8</v>
      </c>
      <c r="M4" s="21"/>
      <c r="N4" s="19"/>
      <c r="O4" s="19"/>
      <c r="P4" s="19"/>
      <c r="Q4" s="19"/>
      <c r="R4" s="19"/>
      <c r="S4" s="19"/>
      <c r="T4" s="19"/>
    </row>
    <row r="5" spans="1:20" ht="30" customHeight="1" x14ac:dyDescent="0.3">
      <c r="A5" s="13" t="s">
        <v>51</v>
      </c>
      <c r="B5" s="13" t="s">
        <v>52</v>
      </c>
      <c r="C5" s="13" t="s">
        <v>52</v>
      </c>
      <c r="D5" s="14">
        <v>1</v>
      </c>
      <c r="E5" s="15"/>
      <c r="F5" s="15"/>
      <c r="G5" s="15"/>
      <c r="H5" s="15"/>
      <c r="I5" s="15"/>
      <c r="J5" s="15"/>
      <c r="K5" s="15"/>
      <c r="L5" s="15"/>
      <c r="M5" s="13" t="s">
        <v>52</v>
      </c>
      <c r="N5" s="2" t="s">
        <v>53</v>
      </c>
      <c r="O5" s="2" t="s">
        <v>52</v>
      </c>
      <c r="P5" s="2" t="s">
        <v>52</v>
      </c>
      <c r="Q5" s="2" t="s">
        <v>52</v>
      </c>
      <c r="R5" s="3">
        <v>1</v>
      </c>
      <c r="S5" s="2" t="s">
        <v>52</v>
      </c>
      <c r="T5" s="11"/>
    </row>
    <row r="6" spans="1:20" ht="30" customHeight="1" x14ac:dyDescent="0.3">
      <c r="A6" s="13" t="s">
        <v>54</v>
      </c>
      <c r="B6" s="13" t="s">
        <v>52</v>
      </c>
      <c r="C6" s="13" t="s">
        <v>52</v>
      </c>
      <c r="D6" s="14">
        <v>1</v>
      </c>
      <c r="E6" s="15"/>
      <c r="F6" s="15"/>
      <c r="G6" s="15"/>
      <c r="H6" s="15"/>
      <c r="I6" s="15"/>
      <c r="J6" s="15"/>
      <c r="K6" s="15"/>
      <c r="L6" s="15"/>
      <c r="M6" s="13" t="s">
        <v>52</v>
      </c>
      <c r="N6" s="2" t="s">
        <v>55</v>
      </c>
      <c r="O6" s="2" t="s">
        <v>52</v>
      </c>
      <c r="P6" s="2" t="s">
        <v>53</v>
      </c>
      <c r="Q6" s="2" t="s">
        <v>52</v>
      </c>
      <c r="R6" s="3">
        <v>2</v>
      </c>
      <c r="S6" s="2" t="s">
        <v>52</v>
      </c>
      <c r="T6" s="11"/>
    </row>
    <row r="7" spans="1:20" ht="30" customHeight="1" x14ac:dyDescent="0.3">
      <c r="A7" s="13" t="s">
        <v>132</v>
      </c>
      <c r="B7" s="13" t="s">
        <v>52</v>
      </c>
      <c r="C7" s="13" t="s">
        <v>52</v>
      </c>
      <c r="D7" s="14">
        <v>1</v>
      </c>
      <c r="E7" s="15"/>
      <c r="F7" s="15"/>
      <c r="G7" s="15"/>
      <c r="H7" s="15"/>
      <c r="I7" s="15"/>
      <c r="J7" s="15"/>
      <c r="K7" s="15"/>
      <c r="L7" s="15"/>
      <c r="M7" s="13" t="s">
        <v>52</v>
      </c>
      <c r="N7" s="2" t="s">
        <v>133</v>
      </c>
      <c r="O7" s="2" t="s">
        <v>52</v>
      </c>
      <c r="P7" s="2" t="s">
        <v>53</v>
      </c>
      <c r="Q7" s="2" t="s">
        <v>52</v>
      </c>
      <c r="R7" s="3">
        <v>2</v>
      </c>
      <c r="S7" s="2" t="s">
        <v>52</v>
      </c>
      <c r="T7" s="11"/>
    </row>
    <row r="8" spans="1:20" ht="30" customHeight="1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T8" s="10"/>
    </row>
    <row r="9" spans="1:20" ht="30" customHeight="1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T9" s="10"/>
    </row>
    <row r="10" spans="1:20" ht="30" customHeight="1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T10" s="10"/>
    </row>
    <row r="11" spans="1:20" ht="30" customHeight="1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T11" s="10"/>
    </row>
    <row r="12" spans="1:20" ht="30" customHeight="1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T12" s="10"/>
    </row>
    <row r="13" spans="1:20" ht="30" customHeight="1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T13" s="10"/>
    </row>
    <row r="14" spans="1:20" ht="30" customHeight="1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T14" s="10"/>
    </row>
    <row r="15" spans="1:20" ht="30" customHeight="1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T15" s="10"/>
    </row>
    <row r="16" spans="1:20" ht="30" customHeight="1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T16" s="10"/>
    </row>
    <row r="17" spans="1:20" ht="30" customHeight="1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T17" s="10"/>
    </row>
    <row r="18" spans="1:20" ht="30" customHeight="1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T18" s="10"/>
    </row>
    <row r="19" spans="1:20" ht="30" customHeight="1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T19" s="10"/>
    </row>
    <row r="20" spans="1:20" ht="30" customHeigh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T20" s="10"/>
    </row>
    <row r="21" spans="1:20" ht="30" customHeight="1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T21" s="10"/>
    </row>
    <row r="22" spans="1:20" ht="30" customHeight="1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T22" s="10"/>
    </row>
    <row r="23" spans="1:20" ht="30" customHeight="1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T23" s="10"/>
    </row>
    <row r="24" spans="1:20" ht="30" customHeight="1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T24" s="10"/>
    </row>
    <row r="25" spans="1:20" ht="30" customHeight="1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T25" s="10"/>
    </row>
    <row r="26" spans="1:20" ht="30" customHeight="1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T26" s="10"/>
    </row>
    <row r="27" spans="1:20" ht="30" customHeight="1" x14ac:dyDescent="0.3">
      <c r="A27" s="13" t="s">
        <v>130</v>
      </c>
      <c r="B27" s="14"/>
      <c r="C27" s="14"/>
      <c r="D27" s="14"/>
      <c r="E27" s="14"/>
      <c r="F27" s="15">
        <f>F5</f>
        <v>0</v>
      </c>
      <c r="G27" s="14"/>
      <c r="H27" s="15">
        <f>H5</f>
        <v>0</v>
      </c>
      <c r="I27" s="14"/>
      <c r="J27" s="15">
        <f>J5</f>
        <v>0</v>
      </c>
      <c r="K27" s="14"/>
      <c r="L27" s="15">
        <f>L5</f>
        <v>0</v>
      </c>
      <c r="M27" s="14"/>
      <c r="T27" s="10"/>
    </row>
  </sheetData>
  <mergeCells count="16">
    <mergeCell ref="G3:H3"/>
    <mergeCell ref="A3:A4"/>
    <mergeCell ref="B3:B4"/>
    <mergeCell ref="C3:C4"/>
    <mergeCell ref="D3:D4"/>
    <mergeCell ref="E3:F3"/>
    <mergeCell ref="Q3:Q4"/>
    <mergeCell ref="R3:R4"/>
    <mergeCell ref="S3:S4"/>
    <mergeCell ref="T3:T4"/>
    <mergeCell ref="I3:J3"/>
    <mergeCell ref="K3:L3"/>
    <mergeCell ref="M3:M4"/>
    <mergeCell ref="N3:N4"/>
    <mergeCell ref="O3:O4"/>
    <mergeCell ref="P3:P4"/>
  </mergeCells>
  <phoneticPr fontId="3" type="noConversion"/>
  <pageMargins left="0.78740157480314954" right="0" top="0.39370078740157477" bottom="0.39370078740157477" header="0" footer="0"/>
  <pageSetup paperSize="9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V51"/>
  <sheetViews>
    <sheetView view="pageBreakPreview" zoomScale="85" zoomScaleNormal="100" zoomScaleSheetLayoutView="85" workbookViewId="0">
      <selection activeCell="B16" sqref="B16"/>
    </sheetView>
  </sheetViews>
  <sheetFormatPr defaultRowHeight="16.5" x14ac:dyDescent="0.3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3" width="2.625" hidden="1" customWidth="1"/>
    <col min="44" max="44" width="10.625" hidden="1" customWidth="1"/>
    <col min="45" max="46" width="1.625" hidden="1" customWidth="1"/>
    <col min="47" max="47" width="24.625" hidden="1" customWidth="1"/>
    <col min="48" max="48" width="10.625" hidden="1" customWidth="1"/>
  </cols>
  <sheetData>
    <row r="1" spans="1:48" ht="30" customHeight="1" x14ac:dyDescent="0.3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48" ht="30" customHeight="1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/>
      <c r="G2" s="20" t="s">
        <v>9</v>
      </c>
      <c r="H2" s="20"/>
      <c r="I2" s="20" t="s">
        <v>10</v>
      </c>
      <c r="J2" s="20"/>
      <c r="K2" s="20" t="s">
        <v>11</v>
      </c>
      <c r="L2" s="20"/>
      <c r="M2" s="20" t="s">
        <v>12</v>
      </c>
      <c r="N2" s="19" t="s">
        <v>20</v>
      </c>
      <c r="O2" s="19" t="s">
        <v>14</v>
      </c>
      <c r="P2" s="19" t="s">
        <v>21</v>
      </c>
      <c r="Q2" s="19" t="s">
        <v>13</v>
      </c>
      <c r="R2" s="19" t="s">
        <v>22</v>
      </c>
      <c r="S2" s="19" t="s">
        <v>23</v>
      </c>
      <c r="T2" s="19" t="s">
        <v>24</v>
      </c>
      <c r="U2" s="19" t="s">
        <v>25</v>
      </c>
      <c r="V2" s="19" t="s">
        <v>26</v>
      </c>
      <c r="W2" s="19" t="s">
        <v>27</v>
      </c>
      <c r="X2" s="19" t="s">
        <v>28</v>
      </c>
      <c r="Y2" s="19" t="s">
        <v>29</v>
      </c>
      <c r="Z2" s="19" t="s">
        <v>30</v>
      </c>
      <c r="AA2" s="19" t="s">
        <v>31</v>
      </c>
      <c r="AB2" s="19" t="s">
        <v>32</v>
      </c>
      <c r="AC2" s="19" t="s">
        <v>33</v>
      </c>
      <c r="AD2" s="19" t="s">
        <v>34</v>
      </c>
      <c r="AE2" s="19" t="s">
        <v>35</v>
      </c>
      <c r="AF2" s="19" t="s">
        <v>36</v>
      </c>
      <c r="AG2" s="19" t="s">
        <v>37</v>
      </c>
      <c r="AH2" s="19" t="s">
        <v>38</v>
      </c>
      <c r="AI2" s="19" t="s">
        <v>39</v>
      </c>
      <c r="AJ2" s="19" t="s">
        <v>40</v>
      </c>
      <c r="AK2" s="19" t="s">
        <v>41</v>
      </c>
      <c r="AL2" s="19" t="s">
        <v>42</v>
      </c>
      <c r="AM2" s="19" t="s">
        <v>43</v>
      </c>
      <c r="AN2" s="19" t="s">
        <v>44</v>
      </c>
      <c r="AO2" s="19" t="s">
        <v>45</v>
      </c>
      <c r="AP2" s="19" t="s">
        <v>46</v>
      </c>
      <c r="AQ2" s="19" t="s">
        <v>47</v>
      </c>
      <c r="AR2" s="19" t="s">
        <v>48</v>
      </c>
      <c r="AS2" s="19" t="s">
        <v>16</v>
      </c>
      <c r="AT2" s="19" t="s">
        <v>17</v>
      </c>
      <c r="AU2" s="19" t="s">
        <v>49</v>
      </c>
      <c r="AV2" s="19" t="s">
        <v>50</v>
      </c>
    </row>
    <row r="3" spans="1:48" ht="30" customHeight="1" x14ac:dyDescent="0.3">
      <c r="A3" s="20"/>
      <c r="B3" s="20"/>
      <c r="C3" s="20"/>
      <c r="D3" s="20"/>
      <c r="E3" s="9" t="s">
        <v>7</v>
      </c>
      <c r="F3" s="9" t="s">
        <v>8</v>
      </c>
      <c r="G3" s="9" t="s">
        <v>7</v>
      </c>
      <c r="H3" s="9" t="s">
        <v>8</v>
      </c>
      <c r="I3" s="9" t="s">
        <v>7</v>
      </c>
      <c r="J3" s="9" t="s">
        <v>8</v>
      </c>
      <c r="K3" s="9" t="s">
        <v>7</v>
      </c>
      <c r="L3" s="9" t="s">
        <v>8</v>
      </c>
      <c r="M3" s="20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</row>
    <row r="4" spans="1:48" ht="30" customHeight="1" x14ac:dyDescent="0.3">
      <c r="A4" s="16" t="s">
        <v>54</v>
      </c>
      <c r="B4" s="16" t="s">
        <v>52</v>
      </c>
      <c r="C4" s="17"/>
      <c r="D4" s="17"/>
      <c r="E4" s="18"/>
      <c r="F4" s="18"/>
      <c r="G4" s="18"/>
      <c r="H4" s="18"/>
      <c r="I4" s="18"/>
      <c r="J4" s="18"/>
      <c r="K4" s="18"/>
      <c r="L4" s="18"/>
      <c r="M4" s="17"/>
      <c r="N4" s="3"/>
      <c r="O4" s="3"/>
      <c r="P4" s="3"/>
      <c r="Q4" s="2" t="s">
        <v>55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ht="30" customHeight="1" x14ac:dyDescent="0.3">
      <c r="A5" s="16" t="s">
        <v>56</v>
      </c>
      <c r="B5" s="16" t="s">
        <v>57</v>
      </c>
      <c r="C5" s="16" t="s">
        <v>58</v>
      </c>
      <c r="D5" s="17">
        <v>20</v>
      </c>
      <c r="E5" s="18"/>
      <c r="F5" s="18"/>
      <c r="G5" s="18"/>
      <c r="H5" s="18"/>
      <c r="I5" s="18"/>
      <c r="J5" s="18"/>
      <c r="K5" s="18"/>
      <c r="L5" s="18"/>
      <c r="M5" s="16" t="s">
        <v>52</v>
      </c>
      <c r="N5" s="2" t="s">
        <v>59</v>
      </c>
      <c r="O5" s="2" t="s">
        <v>52</v>
      </c>
      <c r="P5" s="2" t="s">
        <v>52</v>
      </c>
      <c r="Q5" s="2" t="s">
        <v>55</v>
      </c>
      <c r="R5" s="2" t="s">
        <v>60</v>
      </c>
      <c r="S5" s="2" t="s">
        <v>61</v>
      </c>
      <c r="T5" s="2" t="s">
        <v>61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2" t="s">
        <v>52</v>
      </c>
      <c r="AS5" s="2" t="s">
        <v>52</v>
      </c>
      <c r="AT5" s="3"/>
      <c r="AU5" s="2" t="s">
        <v>62</v>
      </c>
      <c r="AV5" s="3">
        <v>4</v>
      </c>
    </row>
    <row r="6" spans="1:48" ht="30" customHeight="1" x14ac:dyDescent="0.3">
      <c r="A6" s="16" t="s">
        <v>63</v>
      </c>
      <c r="B6" s="16" t="s">
        <v>64</v>
      </c>
      <c r="C6" s="16" t="s">
        <v>58</v>
      </c>
      <c r="D6" s="17">
        <v>20</v>
      </c>
      <c r="E6" s="18"/>
      <c r="F6" s="18"/>
      <c r="G6" s="18"/>
      <c r="H6" s="18"/>
      <c r="I6" s="18"/>
      <c r="J6" s="18"/>
      <c r="K6" s="18"/>
      <c r="L6" s="18"/>
      <c r="M6" s="16" t="s">
        <v>52</v>
      </c>
      <c r="N6" s="2" t="s">
        <v>65</v>
      </c>
      <c r="O6" s="2" t="s">
        <v>52</v>
      </c>
      <c r="P6" s="2" t="s">
        <v>52</v>
      </c>
      <c r="Q6" s="2" t="s">
        <v>55</v>
      </c>
      <c r="R6" s="2" t="s">
        <v>60</v>
      </c>
      <c r="S6" s="2" t="s">
        <v>61</v>
      </c>
      <c r="T6" s="2" t="s">
        <v>61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2" t="s">
        <v>52</v>
      </c>
      <c r="AS6" s="2" t="s">
        <v>52</v>
      </c>
      <c r="AT6" s="3"/>
      <c r="AU6" s="2" t="s">
        <v>66</v>
      </c>
      <c r="AV6" s="3">
        <v>5</v>
      </c>
    </row>
    <row r="7" spans="1:48" ht="30" customHeight="1" x14ac:dyDescent="0.3">
      <c r="A7" s="16" t="s">
        <v>67</v>
      </c>
      <c r="B7" s="16" t="s">
        <v>68</v>
      </c>
      <c r="C7" s="16" t="s">
        <v>69</v>
      </c>
      <c r="D7" s="17">
        <v>5</v>
      </c>
      <c r="E7" s="18"/>
      <c r="F7" s="18"/>
      <c r="G7" s="18"/>
      <c r="H7" s="18"/>
      <c r="I7" s="18"/>
      <c r="J7" s="18"/>
      <c r="K7" s="18"/>
      <c r="L7" s="18"/>
      <c r="M7" s="16" t="s">
        <v>52</v>
      </c>
      <c r="N7" s="2" t="s">
        <v>70</v>
      </c>
      <c r="O7" s="2" t="s">
        <v>52</v>
      </c>
      <c r="P7" s="2" t="s">
        <v>52</v>
      </c>
      <c r="Q7" s="2" t="s">
        <v>55</v>
      </c>
      <c r="R7" s="2" t="s">
        <v>61</v>
      </c>
      <c r="S7" s="2" t="s">
        <v>61</v>
      </c>
      <c r="T7" s="2" t="s">
        <v>60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2" t="s">
        <v>52</v>
      </c>
      <c r="AS7" s="2" t="s">
        <v>52</v>
      </c>
      <c r="AT7" s="3"/>
      <c r="AU7" s="2" t="s">
        <v>71</v>
      </c>
      <c r="AV7" s="3">
        <v>6</v>
      </c>
    </row>
    <row r="8" spans="1:48" ht="30" customHeight="1" x14ac:dyDescent="0.3">
      <c r="A8" s="16" t="s">
        <v>67</v>
      </c>
      <c r="B8" s="16" t="s">
        <v>72</v>
      </c>
      <c r="C8" s="16" t="s">
        <v>69</v>
      </c>
      <c r="D8" s="17">
        <v>1</v>
      </c>
      <c r="E8" s="18"/>
      <c r="F8" s="18"/>
      <c r="G8" s="18"/>
      <c r="H8" s="18"/>
      <c r="I8" s="18"/>
      <c r="J8" s="18"/>
      <c r="K8" s="18"/>
      <c r="L8" s="18"/>
      <c r="M8" s="16" t="s">
        <v>52</v>
      </c>
      <c r="N8" s="2" t="s">
        <v>73</v>
      </c>
      <c r="O8" s="2" t="s">
        <v>52</v>
      </c>
      <c r="P8" s="2" t="s">
        <v>52</v>
      </c>
      <c r="Q8" s="2" t="s">
        <v>55</v>
      </c>
      <c r="R8" s="2" t="s">
        <v>61</v>
      </c>
      <c r="S8" s="2" t="s">
        <v>61</v>
      </c>
      <c r="T8" s="2" t="s">
        <v>60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2" t="s">
        <v>52</v>
      </c>
      <c r="AS8" s="2" t="s">
        <v>52</v>
      </c>
      <c r="AT8" s="3"/>
      <c r="AU8" s="2" t="s">
        <v>74</v>
      </c>
      <c r="AV8" s="3">
        <v>7</v>
      </c>
    </row>
    <row r="9" spans="1:48" ht="30" customHeight="1" x14ac:dyDescent="0.3">
      <c r="A9" s="16" t="s">
        <v>67</v>
      </c>
      <c r="B9" s="16" t="s">
        <v>75</v>
      </c>
      <c r="C9" s="16" t="s">
        <v>69</v>
      </c>
      <c r="D9" s="17">
        <v>1</v>
      </c>
      <c r="E9" s="18"/>
      <c r="F9" s="18"/>
      <c r="G9" s="18"/>
      <c r="H9" s="18"/>
      <c r="I9" s="18"/>
      <c r="J9" s="18"/>
      <c r="K9" s="18"/>
      <c r="L9" s="18"/>
      <c r="M9" s="16" t="s">
        <v>52</v>
      </c>
      <c r="N9" s="2" t="s">
        <v>76</v>
      </c>
      <c r="O9" s="2" t="s">
        <v>52</v>
      </c>
      <c r="P9" s="2" t="s">
        <v>52</v>
      </c>
      <c r="Q9" s="2" t="s">
        <v>55</v>
      </c>
      <c r="R9" s="2" t="s">
        <v>61</v>
      </c>
      <c r="S9" s="2" t="s">
        <v>61</v>
      </c>
      <c r="T9" s="2" t="s">
        <v>60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2" t="s">
        <v>52</v>
      </c>
      <c r="AS9" s="2" t="s">
        <v>52</v>
      </c>
      <c r="AT9" s="3"/>
      <c r="AU9" s="2" t="s">
        <v>77</v>
      </c>
      <c r="AV9" s="3">
        <v>8</v>
      </c>
    </row>
    <row r="10" spans="1:48" ht="30" customHeight="1" x14ac:dyDescent="0.3">
      <c r="A10" s="16" t="s">
        <v>67</v>
      </c>
      <c r="B10" s="16" t="s">
        <v>78</v>
      </c>
      <c r="C10" s="16" t="s">
        <v>69</v>
      </c>
      <c r="D10" s="17">
        <v>2</v>
      </c>
      <c r="E10" s="18"/>
      <c r="F10" s="18"/>
      <c r="G10" s="18"/>
      <c r="H10" s="18"/>
      <c r="I10" s="18"/>
      <c r="J10" s="18"/>
      <c r="K10" s="18"/>
      <c r="L10" s="18"/>
      <c r="M10" s="16" t="s">
        <v>52</v>
      </c>
      <c r="N10" s="2" t="s">
        <v>79</v>
      </c>
      <c r="O10" s="2" t="s">
        <v>52</v>
      </c>
      <c r="P10" s="2" t="s">
        <v>52</v>
      </c>
      <c r="Q10" s="2" t="s">
        <v>55</v>
      </c>
      <c r="R10" s="2" t="s">
        <v>61</v>
      </c>
      <c r="S10" s="2" t="s">
        <v>61</v>
      </c>
      <c r="T10" s="2" t="s">
        <v>60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2" t="s">
        <v>52</v>
      </c>
      <c r="AS10" s="2" t="s">
        <v>52</v>
      </c>
      <c r="AT10" s="3"/>
      <c r="AU10" s="2" t="s">
        <v>80</v>
      </c>
      <c r="AV10" s="3">
        <v>9</v>
      </c>
    </row>
    <row r="11" spans="1:48" ht="30" customHeight="1" x14ac:dyDescent="0.3">
      <c r="A11" s="16" t="s">
        <v>67</v>
      </c>
      <c r="B11" s="16" t="s">
        <v>81</v>
      </c>
      <c r="C11" s="16" t="s">
        <v>69</v>
      </c>
      <c r="D11" s="17">
        <v>1</v>
      </c>
      <c r="E11" s="18"/>
      <c r="F11" s="18"/>
      <c r="G11" s="18"/>
      <c r="H11" s="18"/>
      <c r="I11" s="18"/>
      <c r="J11" s="18"/>
      <c r="K11" s="18"/>
      <c r="L11" s="18"/>
      <c r="M11" s="16" t="s">
        <v>52</v>
      </c>
      <c r="N11" s="2" t="s">
        <v>82</v>
      </c>
      <c r="O11" s="2" t="s">
        <v>52</v>
      </c>
      <c r="P11" s="2" t="s">
        <v>52</v>
      </c>
      <c r="Q11" s="2" t="s">
        <v>55</v>
      </c>
      <c r="R11" s="2" t="s">
        <v>61</v>
      </c>
      <c r="S11" s="2" t="s">
        <v>61</v>
      </c>
      <c r="T11" s="2" t="s">
        <v>60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2" t="s">
        <v>52</v>
      </c>
      <c r="AS11" s="2" t="s">
        <v>52</v>
      </c>
      <c r="AT11" s="3"/>
      <c r="AU11" s="2" t="s">
        <v>83</v>
      </c>
      <c r="AV11" s="3">
        <v>10</v>
      </c>
    </row>
    <row r="12" spans="1:48" ht="30" customHeight="1" x14ac:dyDescent="0.3">
      <c r="A12" s="16" t="s">
        <v>67</v>
      </c>
      <c r="B12" s="16" t="s">
        <v>84</v>
      </c>
      <c r="C12" s="16" t="s">
        <v>69</v>
      </c>
      <c r="D12" s="17">
        <v>2</v>
      </c>
      <c r="E12" s="18"/>
      <c r="F12" s="18"/>
      <c r="G12" s="18"/>
      <c r="H12" s="18"/>
      <c r="I12" s="18"/>
      <c r="J12" s="18"/>
      <c r="K12" s="18"/>
      <c r="L12" s="18"/>
      <c r="M12" s="16" t="s">
        <v>52</v>
      </c>
      <c r="N12" s="2" t="s">
        <v>85</v>
      </c>
      <c r="O12" s="2" t="s">
        <v>52</v>
      </c>
      <c r="P12" s="2" t="s">
        <v>52</v>
      </c>
      <c r="Q12" s="2" t="s">
        <v>55</v>
      </c>
      <c r="R12" s="2" t="s">
        <v>61</v>
      </c>
      <c r="S12" s="2" t="s">
        <v>61</v>
      </c>
      <c r="T12" s="2" t="s">
        <v>60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2" t="s">
        <v>52</v>
      </c>
      <c r="AS12" s="2" t="s">
        <v>52</v>
      </c>
      <c r="AT12" s="3"/>
      <c r="AU12" s="2" t="s">
        <v>86</v>
      </c>
      <c r="AV12" s="3">
        <v>11</v>
      </c>
    </row>
    <row r="13" spans="1:48" ht="30" customHeight="1" x14ac:dyDescent="0.3">
      <c r="A13" s="16" t="s">
        <v>87</v>
      </c>
      <c r="B13" s="16" t="s">
        <v>57</v>
      </c>
      <c r="C13" s="16" t="s">
        <v>69</v>
      </c>
      <c r="D13" s="17">
        <v>1</v>
      </c>
      <c r="E13" s="18"/>
      <c r="F13" s="18"/>
      <c r="G13" s="18"/>
      <c r="H13" s="18"/>
      <c r="I13" s="18"/>
      <c r="J13" s="18"/>
      <c r="K13" s="18"/>
      <c r="L13" s="18"/>
      <c r="M13" s="16" t="s">
        <v>52</v>
      </c>
      <c r="N13" s="2" t="s">
        <v>88</v>
      </c>
      <c r="O13" s="2" t="s">
        <v>52</v>
      </c>
      <c r="P13" s="2" t="s">
        <v>52</v>
      </c>
      <c r="Q13" s="2" t="s">
        <v>55</v>
      </c>
      <c r="R13" s="2" t="s">
        <v>60</v>
      </c>
      <c r="S13" s="2" t="s">
        <v>61</v>
      </c>
      <c r="T13" s="2" t="s">
        <v>61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2" t="s">
        <v>52</v>
      </c>
      <c r="AS13" s="2" t="s">
        <v>52</v>
      </c>
      <c r="AT13" s="3"/>
      <c r="AU13" s="2" t="s">
        <v>89</v>
      </c>
      <c r="AV13" s="3">
        <v>12</v>
      </c>
    </row>
    <row r="14" spans="1:48" ht="30" customHeight="1" x14ac:dyDescent="0.3">
      <c r="A14" s="16" t="s">
        <v>90</v>
      </c>
      <c r="B14" s="16" t="s">
        <v>57</v>
      </c>
      <c r="C14" s="16" t="s">
        <v>91</v>
      </c>
      <c r="D14" s="17">
        <v>20</v>
      </c>
      <c r="E14" s="18"/>
      <c r="F14" s="18"/>
      <c r="G14" s="18"/>
      <c r="H14" s="18"/>
      <c r="I14" s="18"/>
      <c r="J14" s="18"/>
      <c r="K14" s="18"/>
      <c r="L14" s="18"/>
      <c r="M14" s="16" t="s">
        <v>52</v>
      </c>
      <c r="N14" s="2" t="s">
        <v>92</v>
      </c>
      <c r="O14" s="2" t="s">
        <v>52</v>
      </c>
      <c r="P14" s="2" t="s">
        <v>52</v>
      </c>
      <c r="Q14" s="2" t="s">
        <v>55</v>
      </c>
      <c r="R14" s="2" t="s">
        <v>60</v>
      </c>
      <c r="S14" s="2" t="s">
        <v>61</v>
      </c>
      <c r="T14" s="2" t="s">
        <v>61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2" t="s">
        <v>52</v>
      </c>
      <c r="AS14" s="2" t="s">
        <v>52</v>
      </c>
      <c r="AT14" s="3"/>
      <c r="AU14" s="2" t="s">
        <v>93</v>
      </c>
      <c r="AV14" s="3">
        <v>13</v>
      </c>
    </row>
    <row r="15" spans="1:48" ht="30" customHeight="1" x14ac:dyDescent="0.3">
      <c r="A15" s="16" t="s">
        <v>94</v>
      </c>
      <c r="B15" s="16" t="s">
        <v>95</v>
      </c>
      <c r="C15" s="16" t="s">
        <v>96</v>
      </c>
      <c r="D15" s="17">
        <v>12</v>
      </c>
      <c r="E15" s="18"/>
      <c r="F15" s="18"/>
      <c r="G15" s="18"/>
      <c r="H15" s="18"/>
      <c r="I15" s="18"/>
      <c r="J15" s="18"/>
      <c r="K15" s="18"/>
      <c r="L15" s="18"/>
      <c r="M15" s="16" t="s">
        <v>52</v>
      </c>
      <c r="N15" s="2" t="s">
        <v>97</v>
      </c>
      <c r="O15" s="2" t="s">
        <v>52</v>
      </c>
      <c r="P15" s="2" t="s">
        <v>52</v>
      </c>
      <c r="Q15" s="2" t="s">
        <v>55</v>
      </c>
      <c r="R15" s="2" t="s">
        <v>60</v>
      </c>
      <c r="S15" s="2" t="s">
        <v>61</v>
      </c>
      <c r="T15" s="2" t="s">
        <v>61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2" t="s">
        <v>52</v>
      </c>
      <c r="AS15" s="2" t="s">
        <v>52</v>
      </c>
      <c r="AT15" s="3"/>
      <c r="AU15" s="2" t="s">
        <v>98</v>
      </c>
      <c r="AV15" s="3">
        <v>14</v>
      </c>
    </row>
    <row r="16" spans="1:48" ht="30" customHeight="1" x14ac:dyDescent="0.3">
      <c r="A16" s="16" t="s">
        <v>99</v>
      </c>
      <c r="B16" s="16" t="s">
        <v>100</v>
      </c>
      <c r="C16" s="16" t="s">
        <v>58</v>
      </c>
      <c r="D16" s="17">
        <v>6</v>
      </c>
      <c r="E16" s="18"/>
      <c r="F16" s="18"/>
      <c r="G16" s="18"/>
      <c r="H16" s="18"/>
      <c r="I16" s="18"/>
      <c r="J16" s="18"/>
      <c r="K16" s="18"/>
      <c r="L16" s="18"/>
      <c r="M16" s="16" t="s">
        <v>52</v>
      </c>
      <c r="N16" s="2" t="s">
        <v>101</v>
      </c>
      <c r="O16" s="2" t="s">
        <v>52</v>
      </c>
      <c r="P16" s="2" t="s">
        <v>52</v>
      </c>
      <c r="Q16" s="2" t="s">
        <v>55</v>
      </c>
      <c r="R16" s="2" t="s">
        <v>60</v>
      </c>
      <c r="S16" s="2" t="s">
        <v>61</v>
      </c>
      <c r="T16" s="2" t="s">
        <v>61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2" t="s">
        <v>52</v>
      </c>
      <c r="AS16" s="2" t="s">
        <v>52</v>
      </c>
      <c r="AT16" s="3"/>
      <c r="AU16" s="2" t="s">
        <v>102</v>
      </c>
      <c r="AV16" s="3">
        <v>15</v>
      </c>
    </row>
    <row r="17" spans="1:48" ht="30" customHeight="1" x14ac:dyDescent="0.3">
      <c r="A17" s="16" t="s">
        <v>103</v>
      </c>
      <c r="B17" s="16" t="s">
        <v>104</v>
      </c>
      <c r="C17" s="16" t="s">
        <v>69</v>
      </c>
      <c r="D17" s="17">
        <v>3</v>
      </c>
      <c r="E17" s="18"/>
      <c r="F17" s="18"/>
      <c r="G17" s="18"/>
      <c r="H17" s="18"/>
      <c r="I17" s="18"/>
      <c r="J17" s="18"/>
      <c r="K17" s="18"/>
      <c r="L17" s="18"/>
      <c r="M17" s="16" t="s">
        <v>52</v>
      </c>
      <c r="N17" s="2" t="s">
        <v>105</v>
      </c>
      <c r="O17" s="2" t="s">
        <v>52</v>
      </c>
      <c r="P17" s="2" t="s">
        <v>52</v>
      </c>
      <c r="Q17" s="2" t="s">
        <v>55</v>
      </c>
      <c r="R17" s="2" t="s">
        <v>61</v>
      </c>
      <c r="S17" s="2" t="s">
        <v>61</v>
      </c>
      <c r="T17" s="2" t="s">
        <v>60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2" t="s">
        <v>52</v>
      </c>
      <c r="AS17" s="2" t="s">
        <v>52</v>
      </c>
      <c r="AT17" s="3"/>
      <c r="AU17" s="2" t="s">
        <v>106</v>
      </c>
      <c r="AV17" s="3">
        <v>16</v>
      </c>
    </row>
    <row r="18" spans="1:48" ht="30" customHeight="1" x14ac:dyDescent="0.3">
      <c r="A18" s="16" t="s">
        <v>103</v>
      </c>
      <c r="B18" s="16" t="s">
        <v>107</v>
      </c>
      <c r="C18" s="16" t="s">
        <v>69</v>
      </c>
      <c r="D18" s="17">
        <v>2</v>
      </c>
      <c r="E18" s="18"/>
      <c r="F18" s="18"/>
      <c r="G18" s="18"/>
      <c r="H18" s="18"/>
      <c r="I18" s="18"/>
      <c r="J18" s="18"/>
      <c r="K18" s="18"/>
      <c r="L18" s="18"/>
      <c r="M18" s="16" t="s">
        <v>52</v>
      </c>
      <c r="N18" s="2" t="s">
        <v>108</v>
      </c>
      <c r="O18" s="2" t="s">
        <v>52</v>
      </c>
      <c r="P18" s="2" t="s">
        <v>52</v>
      </c>
      <c r="Q18" s="2" t="s">
        <v>55</v>
      </c>
      <c r="R18" s="2" t="s">
        <v>61</v>
      </c>
      <c r="S18" s="2" t="s">
        <v>61</v>
      </c>
      <c r="T18" s="2" t="s">
        <v>60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2" t="s">
        <v>52</v>
      </c>
      <c r="AS18" s="2" t="s">
        <v>52</v>
      </c>
      <c r="AT18" s="3"/>
      <c r="AU18" s="2" t="s">
        <v>109</v>
      </c>
      <c r="AV18" s="3">
        <v>18</v>
      </c>
    </row>
    <row r="19" spans="1:48" ht="30" customHeight="1" x14ac:dyDescent="0.3">
      <c r="A19" s="16" t="s">
        <v>103</v>
      </c>
      <c r="B19" s="16" t="s">
        <v>110</v>
      </c>
      <c r="C19" s="16" t="s">
        <v>69</v>
      </c>
      <c r="D19" s="17">
        <v>1</v>
      </c>
      <c r="E19" s="18"/>
      <c r="F19" s="18"/>
      <c r="G19" s="18"/>
      <c r="H19" s="18"/>
      <c r="I19" s="18"/>
      <c r="J19" s="18"/>
      <c r="K19" s="18"/>
      <c r="L19" s="18"/>
      <c r="M19" s="16" t="s">
        <v>52</v>
      </c>
      <c r="N19" s="2" t="s">
        <v>111</v>
      </c>
      <c r="O19" s="2" t="s">
        <v>52</v>
      </c>
      <c r="P19" s="2" t="s">
        <v>52</v>
      </c>
      <c r="Q19" s="2" t="s">
        <v>55</v>
      </c>
      <c r="R19" s="2" t="s">
        <v>61</v>
      </c>
      <c r="S19" s="2" t="s">
        <v>61</v>
      </c>
      <c r="T19" s="2" t="s">
        <v>60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2" t="s">
        <v>52</v>
      </c>
      <c r="AS19" s="2" t="s">
        <v>52</v>
      </c>
      <c r="AT19" s="3"/>
      <c r="AU19" s="2" t="s">
        <v>112</v>
      </c>
      <c r="AV19" s="3">
        <v>19</v>
      </c>
    </row>
    <row r="20" spans="1:48" ht="30" customHeight="1" x14ac:dyDescent="0.3">
      <c r="A20" s="16" t="s">
        <v>113</v>
      </c>
      <c r="B20" s="16" t="s">
        <v>114</v>
      </c>
      <c r="C20" s="16" t="s">
        <v>91</v>
      </c>
      <c r="D20" s="17">
        <v>1</v>
      </c>
      <c r="E20" s="18"/>
      <c r="F20" s="18"/>
      <c r="G20" s="18"/>
      <c r="H20" s="18"/>
      <c r="I20" s="18"/>
      <c r="J20" s="18"/>
      <c r="K20" s="18"/>
      <c r="L20" s="18"/>
      <c r="M20" s="16" t="s">
        <v>52</v>
      </c>
      <c r="N20" s="2" t="s">
        <v>115</v>
      </c>
      <c r="O20" s="2" t="s">
        <v>52</v>
      </c>
      <c r="P20" s="2" t="s">
        <v>52</v>
      </c>
      <c r="Q20" s="2" t="s">
        <v>55</v>
      </c>
      <c r="R20" s="2" t="s">
        <v>60</v>
      </c>
      <c r="S20" s="2" t="s">
        <v>61</v>
      </c>
      <c r="T20" s="2" t="s">
        <v>61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2" t="s">
        <v>52</v>
      </c>
      <c r="AS20" s="2" t="s">
        <v>52</v>
      </c>
      <c r="AT20" s="3"/>
      <c r="AU20" s="2" t="s">
        <v>116</v>
      </c>
      <c r="AV20" s="3">
        <v>20</v>
      </c>
    </row>
    <row r="21" spans="1:48" ht="30" customHeight="1" x14ac:dyDescent="0.3">
      <c r="A21" s="16" t="s">
        <v>117</v>
      </c>
      <c r="B21" s="16" t="s">
        <v>118</v>
      </c>
      <c r="C21" s="16" t="s">
        <v>91</v>
      </c>
      <c r="D21" s="17">
        <v>1</v>
      </c>
      <c r="E21" s="18"/>
      <c r="F21" s="18"/>
      <c r="G21" s="18"/>
      <c r="H21" s="18"/>
      <c r="I21" s="18"/>
      <c r="J21" s="18"/>
      <c r="K21" s="18"/>
      <c r="L21" s="18"/>
      <c r="M21" s="16" t="s">
        <v>52</v>
      </c>
      <c r="N21" s="2" t="s">
        <v>119</v>
      </c>
      <c r="O21" s="2" t="s">
        <v>52</v>
      </c>
      <c r="P21" s="2" t="s">
        <v>52</v>
      </c>
      <c r="Q21" s="2" t="s">
        <v>55</v>
      </c>
      <c r="R21" s="2" t="s">
        <v>60</v>
      </c>
      <c r="S21" s="2" t="s">
        <v>61</v>
      </c>
      <c r="T21" s="2" t="s">
        <v>61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2" t="s">
        <v>52</v>
      </c>
      <c r="AS21" s="2" t="s">
        <v>52</v>
      </c>
      <c r="AT21" s="3"/>
      <c r="AU21" s="2" t="s">
        <v>120</v>
      </c>
      <c r="AV21" s="3">
        <v>21</v>
      </c>
    </row>
    <row r="22" spans="1:48" ht="30" customHeight="1" x14ac:dyDescent="0.3">
      <c r="A22" s="16" t="s">
        <v>121</v>
      </c>
      <c r="B22" s="16" t="s">
        <v>122</v>
      </c>
      <c r="C22" s="16" t="s">
        <v>123</v>
      </c>
      <c r="D22" s="17">
        <v>2</v>
      </c>
      <c r="E22" s="18"/>
      <c r="F22" s="18"/>
      <c r="G22" s="18"/>
      <c r="H22" s="18"/>
      <c r="I22" s="18"/>
      <c r="J22" s="18"/>
      <c r="K22" s="18"/>
      <c r="L22" s="18"/>
      <c r="M22" s="16" t="s">
        <v>52</v>
      </c>
      <c r="N22" s="2" t="s">
        <v>124</v>
      </c>
      <c r="O22" s="2" t="s">
        <v>52</v>
      </c>
      <c r="P22" s="2" t="s">
        <v>52</v>
      </c>
      <c r="Q22" s="2" t="s">
        <v>55</v>
      </c>
      <c r="R22" s="2" t="s">
        <v>60</v>
      </c>
      <c r="S22" s="2" t="s">
        <v>61</v>
      </c>
      <c r="T22" s="2" t="s">
        <v>61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2" t="s">
        <v>52</v>
      </c>
      <c r="AS22" s="2" t="s">
        <v>52</v>
      </c>
      <c r="AT22" s="3"/>
      <c r="AU22" s="2" t="s">
        <v>125</v>
      </c>
      <c r="AV22" s="3">
        <v>22</v>
      </c>
    </row>
    <row r="23" spans="1:48" ht="30" customHeight="1" x14ac:dyDescent="0.3">
      <c r="A23" s="16" t="s">
        <v>126</v>
      </c>
      <c r="B23" s="16" t="s">
        <v>127</v>
      </c>
      <c r="C23" s="16" t="s">
        <v>123</v>
      </c>
      <c r="D23" s="17">
        <v>2</v>
      </c>
      <c r="E23" s="18"/>
      <c r="F23" s="18"/>
      <c r="G23" s="18"/>
      <c r="H23" s="18"/>
      <c r="I23" s="18"/>
      <c r="J23" s="18"/>
      <c r="K23" s="18"/>
      <c r="L23" s="18"/>
      <c r="M23" s="16" t="s">
        <v>52</v>
      </c>
      <c r="N23" s="2" t="s">
        <v>128</v>
      </c>
      <c r="O23" s="2" t="s">
        <v>52</v>
      </c>
      <c r="P23" s="2" t="s">
        <v>52</v>
      </c>
      <c r="Q23" s="2" t="s">
        <v>55</v>
      </c>
      <c r="R23" s="2" t="s">
        <v>60</v>
      </c>
      <c r="S23" s="2" t="s">
        <v>61</v>
      </c>
      <c r="T23" s="2" t="s">
        <v>61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2" t="s">
        <v>52</v>
      </c>
      <c r="AS23" s="2" t="s">
        <v>52</v>
      </c>
      <c r="AT23" s="3"/>
      <c r="AU23" s="2" t="s">
        <v>129</v>
      </c>
      <c r="AV23" s="3">
        <v>23</v>
      </c>
    </row>
    <row r="24" spans="1:48" ht="30" customHeight="1" x14ac:dyDescent="0.3">
      <c r="A24" s="17"/>
      <c r="B24" s="17"/>
      <c r="C24" s="17"/>
      <c r="D24" s="17"/>
      <c r="E24" s="18"/>
      <c r="F24" s="18"/>
      <c r="G24" s="18"/>
      <c r="H24" s="18"/>
      <c r="I24" s="18"/>
      <c r="J24" s="18"/>
      <c r="K24" s="18"/>
      <c r="L24" s="18"/>
      <c r="M24" s="17"/>
      <c r="Q24" s="1" t="s">
        <v>55</v>
      </c>
    </row>
    <row r="25" spans="1:48" ht="30" customHeight="1" x14ac:dyDescent="0.3">
      <c r="A25" s="17"/>
      <c r="B25" s="17"/>
      <c r="C25" s="17"/>
      <c r="D25" s="17"/>
      <c r="E25" s="18"/>
      <c r="F25" s="18"/>
      <c r="G25" s="18"/>
      <c r="H25" s="18"/>
      <c r="I25" s="18"/>
      <c r="J25" s="18"/>
      <c r="K25" s="18"/>
      <c r="L25" s="18"/>
      <c r="M25" s="17"/>
      <c r="Q25" s="1" t="s">
        <v>55</v>
      </c>
    </row>
    <row r="26" spans="1:48" ht="30" customHeight="1" x14ac:dyDescent="0.3">
      <c r="A26" s="17"/>
      <c r="B26" s="17"/>
      <c r="C26" s="17"/>
      <c r="D26" s="17"/>
      <c r="E26" s="18"/>
      <c r="F26" s="18"/>
      <c r="G26" s="18"/>
      <c r="H26" s="18"/>
      <c r="I26" s="18"/>
      <c r="J26" s="18"/>
      <c r="K26" s="18"/>
      <c r="L26" s="18"/>
      <c r="M26" s="17"/>
      <c r="Q26" s="1" t="s">
        <v>55</v>
      </c>
    </row>
    <row r="27" spans="1:48" ht="30" customHeight="1" x14ac:dyDescent="0.3">
      <c r="A27" s="16" t="s">
        <v>130</v>
      </c>
      <c r="B27" s="17"/>
      <c r="C27" s="17"/>
      <c r="D27" s="17"/>
      <c r="E27" s="18"/>
      <c r="F27" s="18">
        <f>SUMIF(Q5:Q26,"0101",F5:F26)</f>
        <v>0</v>
      </c>
      <c r="G27" s="18"/>
      <c r="H27" s="18">
        <f>SUMIF(Q5:Q26,"0101",H5:H26)</f>
        <v>0</v>
      </c>
      <c r="I27" s="18"/>
      <c r="J27" s="18">
        <f>SUMIF(Q5:Q26,"0101",J5:J26)</f>
        <v>0</v>
      </c>
      <c r="K27" s="18"/>
      <c r="L27" s="18">
        <f>SUMIF(Q5:Q26,"0101",L5:L26)</f>
        <v>0</v>
      </c>
      <c r="M27" s="17"/>
      <c r="N27" t="s">
        <v>131</v>
      </c>
    </row>
    <row r="28" spans="1:48" ht="30" customHeight="1" x14ac:dyDescent="0.3">
      <c r="A28" s="16" t="s">
        <v>132</v>
      </c>
      <c r="B28" s="16" t="s">
        <v>52</v>
      </c>
      <c r="C28" s="17"/>
      <c r="D28" s="17"/>
      <c r="E28" s="18"/>
      <c r="F28" s="18"/>
      <c r="G28" s="18"/>
      <c r="H28" s="18"/>
      <c r="I28" s="18"/>
      <c r="J28" s="18"/>
      <c r="K28" s="18"/>
      <c r="L28" s="18"/>
      <c r="M28" s="17"/>
      <c r="N28" s="3"/>
      <c r="O28" s="3"/>
      <c r="P28" s="3"/>
      <c r="Q28" s="2" t="s">
        <v>133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30" customHeight="1" x14ac:dyDescent="0.3">
      <c r="A29" s="16" t="s">
        <v>134</v>
      </c>
      <c r="B29" s="16" t="s">
        <v>52</v>
      </c>
      <c r="C29" s="16" t="s">
        <v>135</v>
      </c>
      <c r="D29" s="17">
        <v>1</v>
      </c>
      <c r="E29" s="18"/>
      <c r="F29" s="18"/>
      <c r="G29" s="18"/>
      <c r="H29" s="18"/>
      <c r="I29" s="18"/>
      <c r="J29" s="18"/>
      <c r="K29" s="18"/>
      <c r="L29" s="18"/>
      <c r="M29" s="16" t="s">
        <v>52</v>
      </c>
      <c r="N29" s="2" t="s">
        <v>136</v>
      </c>
      <c r="O29" s="2" t="s">
        <v>52</v>
      </c>
      <c r="P29" s="2" t="s">
        <v>52</v>
      </c>
      <c r="Q29" s="2" t="s">
        <v>133</v>
      </c>
      <c r="R29" s="2" t="s">
        <v>60</v>
      </c>
      <c r="S29" s="2" t="s">
        <v>61</v>
      </c>
      <c r="T29" s="2" t="s">
        <v>61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2" t="s">
        <v>52</v>
      </c>
      <c r="AS29" s="2" t="s">
        <v>52</v>
      </c>
      <c r="AT29" s="3"/>
      <c r="AU29" s="2" t="s">
        <v>137</v>
      </c>
      <c r="AV29" s="3">
        <v>24</v>
      </c>
    </row>
    <row r="30" spans="1:48" ht="30" customHeight="1" x14ac:dyDescent="0.3">
      <c r="A30" s="16" t="s">
        <v>138</v>
      </c>
      <c r="B30" s="16" t="s">
        <v>139</v>
      </c>
      <c r="C30" s="16" t="s">
        <v>135</v>
      </c>
      <c r="D30" s="17">
        <v>1</v>
      </c>
      <c r="E30" s="18"/>
      <c r="F30" s="18"/>
      <c r="G30" s="18"/>
      <c r="H30" s="18"/>
      <c r="I30" s="18"/>
      <c r="J30" s="18"/>
      <c r="K30" s="18"/>
      <c r="L30" s="18"/>
      <c r="M30" s="16" t="s">
        <v>52</v>
      </c>
      <c r="N30" s="2" t="s">
        <v>140</v>
      </c>
      <c r="O30" s="2" t="s">
        <v>52</v>
      </c>
      <c r="P30" s="2" t="s">
        <v>52</v>
      </c>
      <c r="Q30" s="2" t="s">
        <v>133</v>
      </c>
      <c r="R30" s="2" t="s">
        <v>60</v>
      </c>
      <c r="S30" s="2" t="s">
        <v>61</v>
      </c>
      <c r="T30" s="2" t="s">
        <v>61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2" t="s">
        <v>52</v>
      </c>
      <c r="AS30" s="2" t="s">
        <v>52</v>
      </c>
      <c r="AT30" s="3"/>
      <c r="AU30" s="2" t="s">
        <v>141</v>
      </c>
      <c r="AV30" s="3">
        <v>25</v>
      </c>
    </row>
    <row r="31" spans="1:48" ht="30" customHeight="1" x14ac:dyDescent="0.3">
      <c r="A31" s="16" t="s">
        <v>142</v>
      </c>
      <c r="B31" s="16" t="s">
        <v>143</v>
      </c>
      <c r="C31" s="16" t="s">
        <v>91</v>
      </c>
      <c r="D31" s="17">
        <v>2</v>
      </c>
      <c r="E31" s="18"/>
      <c r="F31" s="18"/>
      <c r="G31" s="18"/>
      <c r="H31" s="18"/>
      <c r="I31" s="18"/>
      <c r="J31" s="18"/>
      <c r="K31" s="18"/>
      <c r="L31" s="18"/>
      <c r="M31" s="16" t="s">
        <v>52</v>
      </c>
      <c r="N31" s="2" t="s">
        <v>144</v>
      </c>
      <c r="O31" s="2" t="s">
        <v>52</v>
      </c>
      <c r="P31" s="2" t="s">
        <v>52</v>
      </c>
      <c r="Q31" s="2" t="s">
        <v>133</v>
      </c>
      <c r="R31" s="2" t="s">
        <v>60</v>
      </c>
      <c r="S31" s="2" t="s">
        <v>61</v>
      </c>
      <c r="T31" s="2" t="s">
        <v>61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2" t="s">
        <v>52</v>
      </c>
      <c r="AS31" s="2" t="s">
        <v>52</v>
      </c>
      <c r="AT31" s="3"/>
      <c r="AU31" s="2" t="s">
        <v>145</v>
      </c>
      <c r="AV31" s="3">
        <v>26</v>
      </c>
    </row>
    <row r="32" spans="1:48" ht="30" customHeight="1" x14ac:dyDescent="0.3">
      <c r="A32" s="16" t="s">
        <v>146</v>
      </c>
      <c r="B32" s="16" t="s">
        <v>147</v>
      </c>
      <c r="C32" s="16" t="s">
        <v>148</v>
      </c>
      <c r="D32" s="17">
        <v>22</v>
      </c>
      <c r="E32" s="18"/>
      <c r="F32" s="18"/>
      <c r="G32" s="18"/>
      <c r="H32" s="18"/>
      <c r="I32" s="18"/>
      <c r="J32" s="18"/>
      <c r="K32" s="18"/>
      <c r="L32" s="18"/>
      <c r="M32" s="16" t="s">
        <v>52</v>
      </c>
      <c r="N32" s="2" t="s">
        <v>149</v>
      </c>
      <c r="O32" s="2" t="s">
        <v>52</v>
      </c>
      <c r="P32" s="2" t="s">
        <v>52</v>
      </c>
      <c r="Q32" s="2" t="s">
        <v>133</v>
      </c>
      <c r="R32" s="2" t="s">
        <v>60</v>
      </c>
      <c r="S32" s="2" t="s">
        <v>61</v>
      </c>
      <c r="T32" s="2" t="s">
        <v>61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2" t="s">
        <v>52</v>
      </c>
      <c r="AS32" s="2" t="s">
        <v>52</v>
      </c>
      <c r="AT32" s="3"/>
      <c r="AU32" s="2" t="s">
        <v>150</v>
      </c>
      <c r="AV32" s="3">
        <v>27</v>
      </c>
    </row>
    <row r="33" spans="1:17" ht="30" customHeight="1" x14ac:dyDescent="0.3">
      <c r="A33" s="17"/>
      <c r="B33" s="17"/>
      <c r="C33" s="17"/>
      <c r="D33" s="17"/>
      <c r="E33" s="18"/>
      <c r="F33" s="18"/>
      <c r="G33" s="18"/>
      <c r="H33" s="18"/>
      <c r="I33" s="18"/>
      <c r="J33" s="18"/>
      <c r="K33" s="18"/>
      <c r="L33" s="18"/>
      <c r="M33" s="17"/>
      <c r="Q33" s="1" t="s">
        <v>133</v>
      </c>
    </row>
    <row r="34" spans="1:17" ht="30" customHeight="1" x14ac:dyDescent="0.3">
      <c r="A34" s="17"/>
      <c r="B34" s="17"/>
      <c r="C34" s="17"/>
      <c r="D34" s="17"/>
      <c r="E34" s="18"/>
      <c r="F34" s="18"/>
      <c r="G34" s="18"/>
      <c r="H34" s="18"/>
      <c r="I34" s="18"/>
      <c r="J34" s="18"/>
      <c r="K34" s="18"/>
      <c r="L34" s="18"/>
      <c r="M34" s="17"/>
      <c r="Q34" s="1" t="s">
        <v>133</v>
      </c>
    </row>
    <row r="35" spans="1:17" ht="30" customHeight="1" x14ac:dyDescent="0.3">
      <c r="A35" s="17"/>
      <c r="B35" s="17"/>
      <c r="C35" s="17"/>
      <c r="D35" s="17"/>
      <c r="E35" s="18"/>
      <c r="F35" s="18"/>
      <c r="G35" s="18"/>
      <c r="H35" s="18"/>
      <c r="I35" s="18"/>
      <c r="J35" s="18"/>
      <c r="K35" s="18"/>
      <c r="L35" s="18"/>
      <c r="M35" s="17"/>
      <c r="Q35" s="1" t="s">
        <v>133</v>
      </c>
    </row>
    <row r="36" spans="1:17" ht="30" customHeight="1" x14ac:dyDescent="0.3">
      <c r="A36" s="17"/>
      <c r="B36" s="17"/>
      <c r="C36" s="17"/>
      <c r="D36" s="17"/>
      <c r="E36" s="18"/>
      <c r="F36" s="18"/>
      <c r="G36" s="18"/>
      <c r="H36" s="18"/>
      <c r="I36" s="18"/>
      <c r="J36" s="18"/>
      <c r="K36" s="18"/>
      <c r="L36" s="18"/>
      <c r="M36" s="17"/>
      <c r="Q36" s="1" t="s">
        <v>133</v>
      </c>
    </row>
    <row r="37" spans="1:17" ht="30" customHeight="1" x14ac:dyDescent="0.3">
      <c r="A37" s="17"/>
      <c r="B37" s="17"/>
      <c r="C37" s="17"/>
      <c r="D37" s="17"/>
      <c r="E37" s="18"/>
      <c r="F37" s="18"/>
      <c r="G37" s="18"/>
      <c r="H37" s="18"/>
      <c r="I37" s="18"/>
      <c r="J37" s="18"/>
      <c r="K37" s="18"/>
      <c r="L37" s="18"/>
      <c r="M37" s="17"/>
      <c r="Q37" s="1" t="s">
        <v>133</v>
      </c>
    </row>
    <row r="38" spans="1:17" ht="30" customHeight="1" x14ac:dyDescent="0.3">
      <c r="A38" s="17"/>
      <c r="B38" s="17"/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7"/>
      <c r="Q38" s="1" t="s">
        <v>133</v>
      </c>
    </row>
    <row r="39" spans="1:17" ht="30" customHeight="1" x14ac:dyDescent="0.3">
      <c r="A39" s="17"/>
      <c r="B39" s="17"/>
      <c r="C39" s="17"/>
      <c r="D39" s="17"/>
      <c r="E39" s="18"/>
      <c r="F39" s="18"/>
      <c r="G39" s="18"/>
      <c r="H39" s="18"/>
      <c r="I39" s="18"/>
      <c r="J39" s="18"/>
      <c r="K39" s="18"/>
      <c r="L39" s="18"/>
      <c r="M39" s="17"/>
      <c r="Q39" s="1" t="s">
        <v>133</v>
      </c>
    </row>
    <row r="40" spans="1:17" ht="30" customHeight="1" x14ac:dyDescent="0.3">
      <c r="A40" s="17"/>
      <c r="B40" s="17"/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7"/>
      <c r="Q40" s="1" t="s">
        <v>133</v>
      </c>
    </row>
    <row r="41" spans="1:17" ht="30" customHeight="1" x14ac:dyDescent="0.3">
      <c r="A41" s="17"/>
      <c r="B41" s="17"/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7"/>
      <c r="Q41" s="1" t="s">
        <v>133</v>
      </c>
    </row>
    <row r="42" spans="1:17" ht="30" customHeight="1" x14ac:dyDescent="0.3">
      <c r="A42" s="17"/>
      <c r="B42" s="17"/>
      <c r="C42" s="17"/>
      <c r="D42" s="17"/>
      <c r="E42" s="18"/>
      <c r="F42" s="18"/>
      <c r="G42" s="18"/>
      <c r="H42" s="18"/>
      <c r="I42" s="18"/>
      <c r="J42" s="18"/>
      <c r="K42" s="18"/>
      <c r="L42" s="18"/>
      <c r="M42" s="17"/>
      <c r="Q42" s="1" t="s">
        <v>133</v>
      </c>
    </row>
    <row r="43" spans="1:17" ht="30" customHeight="1" x14ac:dyDescent="0.3">
      <c r="A43" s="17"/>
      <c r="B43" s="17"/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7"/>
      <c r="Q43" s="1" t="s">
        <v>133</v>
      </c>
    </row>
    <row r="44" spans="1:17" ht="30" customHeight="1" x14ac:dyDescent="0.3">
      <c r="A44" s="17"/>
      <c r="B44" s="17"/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7"/>
      <c r="Q44" s="1" t="s">
        <v>133</v>
      </c>
    </row>
    <row r="45" spans="1:17" ht="30" customHeight="1" x14ac:dyDescent="0.3">
      <c r="A45" s="17"/>
      <c r="B45" s="17"/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7"/>
      <c r="Q45" s="1" t="s">
        <v>133</v>
      </c>
    </row>
    <row r="46" spans="1:17" ht="30" customHeight="1" x14ac:dyDescent="0.3">
      <c r="A46" s="17"/>
      <c r="B46" s="17"/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7"/>
      <c r="Q46" s="1" t="s">
        <v>133</v>
      </c>
    </row>
    <row r="47" spans="1:17" ht="30" customHeight="1" x14ac:dyDescent="0.3">
      <c r="A47" s="17"/>
      <c r="B47" s="17"/>
      <c r="C47" s="17"/>
      <c r="D47" s="17"/>
      <c r="E47" s="18"/>
      <c r="F47" s="18"/>
      <c r="G47" s="18"/>
      <c r="H47" s="18"/>
      <c r="I47" s="18"/>
      <c r="J47" s="18"/>
      <c r="K47" s="18"/>
      <c r="L47" s="18"/>
      <c r="M47" s="17"/>
      <c r="Q47" s="1" t="s">
        <v>133</v>
      </c>
    </row>
    <row r="48" spans="1:17" ht="30" customHeight="1" x14ac:dyDescent="0.3">
      <c r="A48" s="17"/>
      <c r="B48" s="17"/>
      <c r="C48" s="17"/>
      <c r="D48" s="17"/>
      <c r="E48" s="18"/>
      <c r="F48" s="18"/>
      <c r="G48" s="18"/>
      <c r="H48" s="18"/>
      <c r="I48" s="18"/>
      <c r="J48" s="18"/>
      <c r="K48" s="18"/>
      <c r="L48" s="18"/>
      <c r="M48" s="17"/>
      <c r="Q48" s="1" t="s">
        <v>133</v>
      </c>
    </row>
    <row r="49" spans="1:17" ht="30" customHeight="1" x14ac:dyDescent="0.3">
      <c r="A49" s="17"/>
      <c r="B49" s="17"/>
      <c r="C49" s="17"/>
      <c r="D49" s="17"/>
      <c r="E49" s="18"/>
      <c r="F49" s="18"/>
      <c r="G49" s="18"/>
      <c r="H49" s="18"/>
      <c r="I49" s="18"/>
      <c r="J49" s="18"/>
      <c r="K49" s="18"/>
      <c r="L49" s="18"/>
      <c r="M49" s="17"/>
      <c r="Q49" s="1" t="s">
        <v>133</v>
      </c>
    </row>
    <row r="50" spans="1:17" ht="30" customHeight="1" x14ac:dyDescent="0.3">
      <c r="A50" s="17"/>
      <c r="B50" s="17"/>
      <c r="C50" s="17"/>
      <c r="D50" s="17"/>
      <c r="E50" s="18"/>
      <c r="F50" s="18"/>
      <c r="G50" s="18"/>
      <c r="H50" s="18"/>
      <c r="I50" s="18"/>
      <c r="J50" s="18"/>
      <c r="K50" s="18"/>
      <c r="L50" s="18"/>
      <c r="M50" s="17"/>
      <c r="Q50" s="1" t="s">
        <v>133</v>
      </c>
    </row>
    <row r="51" spans="1:17" ht="30" customHeight="1" x14ac:dyDescent="0.3">
      <c r="A51" s="16" t="s">
        <v>130</v>
      </c>
      <c r="B51" s="17"/>
      <c r="C51" s="17"/>
      <c r="D51" s="17"/>
      <c r="E51" s="18"/>
      <c r="F51" s="18">
        <f>SUMIF(Q29:Q50,"0102",F29:F50)</f>
        <v>0</v>
      </c>
      <c r="G51" s="18"/>
      <c r="H51" s="18">
        <f>SUMIF(Q29:Q50,"0102",H29:H50)</f>
        <v>0</v>
      </c>
      <c r="I51" s="18"/>
      <c r="J51" s="18">
        <f>SUMIF(Q29:Q50,"0102",J29:J50)</f>
        <v>0</v>
      </c>
      <c r="K51" s="18"/>
      <c r="L51" s="18">
        <f>SUMIF(Q29:Q50,"0102",L29:L50)</f>
        <v>0</v>
      </c>
      <c r="M51" s="17"/>
      <c r="N51" t="s">
        <v>131</v>
      </c>
    </row>
  </sheetData>
  <mergeCells count="44">
    <mergeCell ref="P2:P3"/>
    <mergeCell ref="A2:A3"/>
    <mergeCell ref="B2:B3"/>
    <mergeCell ref="C2:C3"/>
    <mergeCell ref="D2:D3"/>
    <mergeCell ref="E2:F2"/>
    <mergeCell ref="G2:H2"/>
    <mergeCell ref="I2:J2"/>
    <mergeCell ref="K2:L2"/>
    <mergeCell ref="M2:M3"/>
    <mergeCell ref="N2:N3"/>
    <mergeCell ref="O2:O3"/>
    <mergeCell ref="AB2:AB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N2:AN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U2:AU3"/>
    <mergeCell ref="AV2:AV3"/>
    <mergeCell ref="AO2:AO3"/>
    <mergeCell ref="AP2:AP3"/>
    <mergeCell ref="AQ2:AQ3"/>
    <mergeCell ref="AR2:AR3"/>
    <mergeCell ref="AS2:AS3"/>
    <mergeCell ref="AT2:AT3"/>
  </mergeCells>
  <phoneticPr fontId="3" type="noConversion"/>
  <pageMargins left="0.78740157480314954" right="0" top="0.39370078740157477" bottom="0.39370078740157477" header="0" footer="0"/>
  <pageSetup paperSize="9" scale="64" fitToHeight="0" orientation="landscape" r:id="rId1"/>
  <rowBreaks count="2" manualBreakCount="2">
    <brk id="27" max="16383" man="1"/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공종별집계표</vt:lpstr>
      <vt:lpstr>공종별내역서</vt:lpstr>
      <vt:lpstr>공종별내역서!Print_Area</vt:lpstr>
      <vt:lpstr>공종별집계표!Print_Area</vt:lpstr>
      <vt:lpstr>공종별내역서!Print_Titles</vt:lpstr>
      <vt:lpstr>공종별집계표!Print_Titles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LHK</cp:lastModifiedBy>
  <dcterms:created xsi:type="dcterms:W3CDTF">2026-07-22T02:43:08Z</dcterms:created>
  <dcterms:modified xsi:type="dcterms:W3CDTF">2026-08-10T04:34:57Z</dcterms:modified>
</cp:coreProperties>
</file>