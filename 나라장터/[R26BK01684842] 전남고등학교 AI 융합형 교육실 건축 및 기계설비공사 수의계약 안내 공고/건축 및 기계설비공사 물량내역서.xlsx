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공사 계약 관련\공사계약\공고문\"/>
    </mc:Choice>
  </mc:AlternateContent>
  <xr:revisionPtr revIDLastSave="0" documentId="13_ncr:1_{5C202892-F6EA-465C-B83F-9BABC014085E}" xr6:coauthVersionLast="36" xr6:coauthVersionMax="36" xr10:uidLastSave="{00000000-0000-0000-0000-000000000000}"/>
  <bookViews>
    <workbookView xWindow="0" yWindow="0" windowWidth="38400" windowHeight="12060" xr2:uid="{A45FDE96-690F-4B6A-8C52-57BE85B4F38E}"/>
  </bookViews>
  <sheets>
    <sheet name="원가계산서" sheetId="2" r:id="rId1"/>
    <sheet name="집계표(건축)" sheetId="3" r:id="rId2"/>
    <sheet name="집계표(기계)" sheetId="5" r:id="rId3"/>
    <sheet name="내역서(건축)" sheetId="4" r:id="rId4"/>
    <sheet name="내역서(기계)" sheetId="6" r:id="rId5"/>
  </sheets>
  <definedNames>
    <definedName name="_xlnm.Print_Area" localSheetId="3">'내역서(건축)'!$A$1:$M$312</definedName>
    <definedName name="_xlnm.Print_Area" localSheetId="4">'내역서(기계)'!$A$1:$M$123</definedName>
    <definedName name="_xlnm.Print_Area" localSheetId="0">원가계산서!$A$1:$F$34</definedName>
    <definedName name="_xlnm.Print_Area" localSheetId="1">'집계표(건축)'!$A$1:$M$48</definedName>
    <definedName name="_xlnm.Print_Area" localSheetId="2">'집계표(기계)'!$A$1:$M$27</definedName>
    <definedName name="_xlnm.Print_Titles" localSheetId="3">'내역서(건축)'!$1:$4</definedName>
    <definedName name="_xlnm.Print_Titles" localSheetId="4">'내역서(기계)'!$1:$3</definedName>
    <definedName name="_xlnm.Print_Titles" localSheetId="0">원가계산서!$1:$4</definedName>
    <definedName name="_xlnm.Print_Titles" localSheetId="1">'집계표(건축)'!$1:$4</definedName>
    <definedName name="_xlnm.Print_Titles" localSheetId="2">'집계표(기계)'!$1:$4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7" i="6" l="1"/>
  <c r="H27" i="6"/>
  <c r="L27" i="6"/>
  <c r="F27" i="6"/>
  <c r="H27" i="5" l="1"/>
  <c r="J27" i="5"/>
  <c r="F27" i="5" l="1"/>
  <c r="L27" i="5"/>
  <c r="O6" i="4" l="1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O7" i="4"/>
  <c r="R7" i="4"/>
  <c r="S7" i="4"/>
  <c r="T7" i="4"/>
  <c r="U7" i="4"/>
  <c r="V7" i="4"/>
  <c r="W7" i="4"/>
  <c r="W26" i="4" s="1"/>
  <c r="W28" i="3" s="1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R8" i="4"/>
  <c r="O8" i="4"/>
  <c r="S8" i="4"/>
  <c r="T8" i="4"/>
  <c r="U8" i="4"/>
  <c r="V8" i="4"/>
  <c r="W8" i="4"/>
  <c r="X8" i="4"/>
  <c r="Y8" i="4"/>
  <c r="Z8" i="4"/>
  <c r="AA8" i="4"/>
  <c r="AB8" i="4"/>
  <c r="AC8" i="4"/>
  <c r="AD8" i="4"/>
  <c r="AD26" i="4" s="1"/>
  <c r="AD28" i="3" s="1"/>
  <c r="AE8" i="4"/>
  <c r="AE26" i="4" s="1"/>
  <c r="AE28" i="3" s="1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O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O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R11" i="4"/>
  <c r="O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26" i="4"/>
  <c r="AW26" i="4"/>
  <c r="AX26" i="4"/>
  <c r="AY26" i="4"/>
  <c r="O28" i="4"/>
  <c r="S28" i="4"/>
  <c r="T28" i="4"/>
  <c r="U28" i="4"/>
  <c r="V28" i="4"/>
  <c r="W28" i="4"/>
  <c r="X28" i="4"/>
  <c r="X48" i="4" s="1"/>
  <c r="X29" i="3" s="1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R29" i="4"/>
  <c r="O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O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O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R32" i="4"/>
  <c r="O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R33" i="4"/>
  <c r="O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O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AG34" i="4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R35" i="4"/>
  <c r="O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AG35" i="4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R36" i="4"/>
  <c r="O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AG36" i="4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R37" i="4"/>
  <c r="O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AG37" i="4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R38" i="4"/>
  <c r="O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48" i="4"/>
  <c r="AW48" i="4"/>
  <c r="AX48" i="4"/>
  <c r="AY48" i="4"/>
  <c r="R50" i="4"/>
  <c r="O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AG50" i="4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O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AG51" i="4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R52" i="4"/>
  <c r="O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AG52" i="4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R53" i="4"/>
  <c r="O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AG53" i="4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R54" i="4"/>
  <c r="O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AG54" i="4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R55" i="4"/>
  <c r="O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AG55" i="4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R56" i="4"/>
  <c r="O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AG56" i="4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R57" i="4"/>
  <c r="O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AG57" i="4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R58" i="4"/>
  <c r="O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O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AG59" i="4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O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AG60" i="4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O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AG61" i="4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R62" i="4"/>
  <c r="O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AF62" i="4"/>
  <c r="AG62" i="4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R63" i="4"/>
  <c r="O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AF63" i="4"/>
  <c r="AG63" i="4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70" i="4"/>
  <c r="AV30" i="3" s="1"/>
  <c r="AW70" i="4"/>
  <c r="AX70" i="4"/>
  <c r="AY70" i="4"/>
  <c r="H92" i="4"/>
  <c r="R72" i="4"/>
  <c r="R92" i="4" s="1"/>
  <c r="R31" i="3" s="1"/>
  <c r="O72" i="4"/>
  <c r="S72" i="4"/>
  <c r="S92" i="4" s="1"/>
  <c r="S31" i="3" s="1"/>
  <c r="T72" i="4"/>
  <c r="T92" i="4" s="1"/>
  <c r="T31" i="3" s="1"/>
  <c r="U72" i="4"/>
  <c r="U92" i="4" s="1"/>
  <c r="U31" i="3" s="1"/>
  <c r="V72" i="4"/>
  <c r="V92" i="4" s="1"/>
  <c r="V31" i="3" s="1"/>
  <c r="W72" i="4"/>
  <c r="W92" i="4" s="1"/>
  <c r="W31" i="3" s="1"/>
  <c r="X72" i="4"/>
  <c r="X92" i="4" s="1"/>
  <c r="Y72" i="4"/>
  <c r="Y92" i="4" s="1"/>
  <c r="Y31" i="3" s="1"/>
  <c r="Z72" i="4"/>
  <c r="Z92" i="4" s="1"/>
  <c r="Z31" i="3" s="1"/>
  <c r="AA72" i="4"/>
  <c r="AA92" i="4" s="1"/>
  <c r="AA31" i="3" s="1"/>
  <c r="AB72" i="4"/>
  <c r="AB92" i="4" s="1"/>
  <c r="AB31" i="3" s="1"/>
  <c r="AC72" i="4"/>
  <c r="AC92" i="4" s="1"/>
  <c r="AC31" i="3" s="1"/>
  <c r="AD72" i="4"/>
  <c r="AD92" i="4" s="1"/>
  <c r="AD31" i="3" s="1"/>
  <c r="AE72" i="4"/>
  <c r="AE92" i="4" s="1"/>
  <c r="AE31" i="3" s="1"/>
  <c r="AF72" i="4"/>
  <c r="AG72" i="4"/>
  <c r="AG92" i="4" s="1"/>
  <c r="AG31" i="3" s="1"/>
  <c r="AH72" i="4"/>
  <c r="AH92" i="4" s="1"/>
  <c r="AH31" i="3" s="1"/>
  <c r="AI72" i="4"/>
  <c r="AI92" i="4" s="1"/>
  <c r="AI31" i="3" s="1"/>
  <c r="AJ72" i="4"/>
  <c r="AJ92" i="4" s="1"/>
  <c r="AJ31" i="3" s="1"/>
  <c r="AK72" i="4"/>
  <c r="AK92" i="4" s="1"/>
  <c r="AK31" i="3" s="1"/>
  <c r="AL72" i="4"/>
  <c r="AL92" i="4" s="1"/>
  <c r="AL31" i="3" s="1"/>
  <c r="AM72" i="4"/>
  <c r="AM92" i="4" s="1"/>
  <c r="AM31" i="3" s="1"/>
  <c r="AN72" i="4"/>
  <c r="AN92" i="4" s="1"/>
  <c r="AN31" i="3" s="1"/>
  <c r="AO72" i="4"/>
  <c r="AO92" i="4" s="1"/>
  <c r="AO31" i="3" s="1"/>
  <c r="AP72" i="4"/>
  <c r="AP92" i="4" s="1"/>
  <c r="AP31" i="3" s="1"/>
  <c r="AQ72" i="4"/>
  <c r="AQ92" i="4" s="1"/>
  <c r="AQ31" i="3" s="1"/>
  <c r="AR72" i="4"/>
  <c r="AR92" i="4" s="1"/>
  <c r="AS72" i="4"/>
  <c r="AS92" i="4" s="1"/>
  <c r="AS31" i="3" s="1"/>
  <c r="AT72" i="4"/>
  <c r="AT92" i="4" s="1"/>
  <c r="AT31" i="3" s="1"/>
  <c r="AU72" i="4"/>
  <c r="AU92" i="4" s="1"/>
  <c r="AU31" i="3" s="1"/>
  <c r="AF92" i="4"/>
  <c r="AF31" i="3" s="1"/>
  <c r="AV92" i="4"/>
  <c r="AW92" i="4"/>
  <c r="AX92" i="4"/>
  <c r="AY92" i="4"/>
  <c r="H114" i="4"/>
  <c r="O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AF94" i="4"/>
  <c r="AG94" i="4"/>
  <c r="AH94" i="4"/>
  <c r="AI94" i="4"/>
  <c r="AJ94" i="4"/>
  <c r="AK94" i="4"/>
  <c r="AL94" i="4"/>
  <c r="AM94" i="4"/>
  <c r="AN94" i="4"/>
  <c r="AN114" i="4" s="1"/>
  <c r="AN32" i="3" s="1"/>
  <c r="AO94" i="4"/>
  <c r="AP94" i="4"/>
  <c r="AQ94" i="4"/>
  <c r="AR94" i="4"/>
  <c r="AS94" i="4"/>
  <c r="AT94" i="4"/>
  <c r="AU94" i="4"/>
  <c r="R95" i="4"/>
  <c r="O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AF95" i="4"/>
  <c r="AG95" i="4"/>
  <c r="AH95" i="4"/>
  <c r="AI95" i="4"/>
  <c r="AJ95" i="4"/>
  <c r="AJ114" i="4" s="1"/>
  <c r="AJ32" i="3" s="1"/>
  <c r="AK95" i="4"/>
  <c r="AL95" i="4"/>
  <c r="AM95" i="4"/>
  <c r="AN95" i="4"/>
  <c r="AO95" i="4"/>
  <c r="AP95" i="4"/>
  <c r="AQ95" i="4"/>
  <c r="AR95" i="4"/>
  <c r="AS95" i="4"/>
  <c r="AT95" i="4"/>
  <c r="AU95" i="4"/>
  <c r="O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AF96" i="4"/>
  <c r="AG96" i="4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R97" i="4"/>
  <c r="O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AF97" i="4"/>
  <c r="AG97" i="4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I114" i="4"/>
  <c r="AI32" i="3" s="1"/>
  <c r="AV114" i="4"/>
  <c r="AW114" i="4"/>
  <c r="AX114" i="4"/>
  <c r="AY114" i="4"/>
  <c r="O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AF116" i="4"/>
  <c r="AG116" i="4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O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AF117" i="4"/>
  <c r="AG117" i="4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O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AF118" i="4"/>
  <c r="AG118" i="4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O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AF119" i="4"/>
  <c r="AG119" i="4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R120" i="4"/>
  <c r="O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AF120" i="4"/>
  <c r="AG120" i="4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R121" i="4"/>
  <c r="O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F121" i="4"/>
  <c r="AG121" i="4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O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AF122" i="4"/>
  <c r="AG122" i="4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O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AF123" i="4"/>
  <c r="AG123" i="4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R124" i="4"/>
  <c r="O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R125" i="4"/>
  <c r="O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O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AF126" i="4"/>
  <c r="AG126" i="4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R127" i="4"/>
  <c r="O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AF127" i="4"/>
  <c r="AG127" i="4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R128" i="4"/>
  <c r="O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R129" i="4"/>
  <c r="O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AF129" i="4"/>
  <c r="AG129" i="4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O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AF130" i="4"/>
  <c r="AG130" i="4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R131" i="4"/>
  <c r="O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AF131" i="4"/>
  <c r="AG131" i="4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R132" i="4"/>
  <c r="O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R133" i="4"/>
  <c r="O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AF133" i="4"/>
  <c r="AG133" i="4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R134" i="4"/>
  <c r="O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AF134" i="4"/>
  <c r="AG134" i="4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R135" i="4"/>
  <c r="O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AF135" i="4"/>
  <c r="AG135" i="4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R136" i="4"/>
  <c r="O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O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AF137" i="4"/>
  <c r="AG137" i="4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R138" i="4"/>
  <c r="O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AF138" i="4"/>
  <c r="AG138" i="4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58" i="4"/>
  <c r="AW158" i="4"/>
  <c r="AX158" i="4"/>
  <c r="AY158" i="4"/>
  <c r="R160" i="4"/>
  <c r="O160" i="4"/>
  <c r="S160" i="4"/>
  <c r="T160" i="4"/>
  <c r="U160" i="4"/>
  <c r="V160" i="4"/>
  <c r="W160" i="4"/>
  <c r="W180" i="4" s="1"/>
  <c r="W34" i="3" s="1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R161" i="4"/>
  <c r="O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AF161" i="4"/>
  <c r="AG161" i="4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O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AF162" i="4"/>
  <c r="AG162" i="4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R163" i="4"/>
  <c r="O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AF163" i="4"/>
  <c r="AG163" i="4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R164" i="4"/>
  <c r="O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R165" i="4"/>
  <c r="O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AF165" i="4"/>
  <c r="AG165" i="4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R166" i="4"/>
  <c r="O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AF166" i="4"/>
  <c r="AG166" i="4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R167" i="4"/>
  <c r="O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AF167" i="4"/>
  <c r="AG167" i="4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R168" i="4"/>
  <c r="O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R169" i="4"/>
  <c r="O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AF169" i="4"/>
  <c r="AG169" i="4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R170" i="4"/>
  <c r="O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AF170" i="4"/>
  <c r="AG170" i="4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80" i="4"/>
  <c r="AW180" i="4"/>
  <c r="AX180" i="4"/>
  <c r="AY180" i="4"/>
  <c r="O182" i="4"/>
  <c r="R182" i="4"/>
  <c r="R202" i="4" s="1"/>
  <c r="R35" i="3" s="1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AF182" i="4"/>
  <c r="AG182" i="4"/>
  <c r="AH182" i="4"/>
  <c r="AI182" i="4"/>
  <c r="AJ182" i="4"/>
  <c r="AK182" i="4"/>
  <c r="AK202" i="4" s="1"/>
  <c r="AK35" i="3" s="1"/>
  <c r="AL182" i="4"/>
  <c r="AL202" i="4" s="1"/>
  <c r="AL35" i="3" s="1"/>
  <c r="AM182" i="4"/>
  <c r="AN182" i="4"/>
  <c r="AO182" i="4"/>
  <c r="AP182" i="4"/>
  <c r="AQ182" i="4"/>
  <c r="AR182" i="4"/>
  <c r="AS182" i="4"/>
  <c r="AT182" i="4"/>
  <c r="AU182" i="4"/>
  <c r="O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AF183" i="4"/>
  <c r="AG183" i="4"/>
  <c r="AH183" i="4"/>
  <c r="AI183" i="4"/>
  <c r="AJ183" i="4"/>
  <c r="AK183" i="4"/>
  <c r="AL183" i="4"/>
  <c r="AM183" i="4"/>
  <c r="AN183" i="4"/>
  <c r="AN202" i="4" s="1"/>
  <c r="AN35" i="3" s="1"/>
  <c r="AO183" i="4"/>
  <c r="AP183" i="4"/>
  <c r="AQ183" i="4"/>
  <c r="AR183" i="4"/>
  <c r="AS183" i="4"/>
  <c r="AT183" i="4"/>
  <c r="AU183" i="4"/>
  <c r="H202" i="4"/>
  <c r="O184" i="4"/>
  <c r="R184" i="4"/>
  <c r="S184" i="4"/>
  <c r="T184" i="4"/>
  <c r="U184" i="4"/>
  <c r="V184" i="4"/>
  <c r="W184" i="4"/>
  <c r="X184" i="4"/>
  <c r="Y184" i="4"/>
  <c r="Z184" i="4"/>
  <c r="AA184" i="4"/>
  <c r="AB184" i="4"/>
  <c r="AB202" i="4" s="1"/>
  <c r="AB35" i="3" s="1"/>
  <c r="AC184" i="4"/>
  <c r="AD184" i="4"/>
  <c r="AE184" i="4"/>
  <c r="AF184" i="4"/>
  <c r="AG184" i="4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R185" i="4"/>
  <c r="O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AF185" i="4"/>
  <c r="AG185" i="4"/>
  <c r="AH185" i="4"/>
  <c r="AI185" i="4"/>
  <c r="AJ185" i="4"/>
  <c r="AK185" i="4"/>
  <c r="AL185" i="4"/>
  <c r="AM185" i="4"/>
  <c r="AM202" i="4" s="1"/>
  <c r="AM35" i="3" s="1"/>
  <c r="AN185" i="4"/>
  <c r="AO185" i="4"/>
  <c r="AP185" i="4"/>
  <c r="AQ185" i="4"/>
  <c r="AR185" i="4"/>
  <c r="AS185" i="4"/>
  <c r="AT185" i="4"/>
  <c r="AU185" i="4"/>
  <c r="R186" i="4"/>
  <c r="O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AF186" i="4"/>
  <c r="AG186" i="4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O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AF187" i="4"/>
  <c r="AG187" i="4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202" i="4"/>
  <c r="AV35" i="3" s="1"/>
  <c r="AW202" i="4"/>
  <c r="AX202" i="4"/>
  <c r="AY202" i="4"/>
  <c r="O204" i="4"/>
  <c r="R204" i="4"/>
  <c r="R224" i="4" s="1"/>
  <c r="R36" i="3" s="1"/>
  <c r="S204" i="4"/>
  <c r="S224" i="4" s="1"/>
  <c r="S36" i="3" s="1"/>
  <c r="T204" i="4"/>
  <c r="T224" i="4" s="1"/>
  <c r="T36" i="3" s="1"/>
  <c r="U204" i="4"/>
  <c r="U224" i="4" s="1"/>
  <c r="U36" i="3" s="1"/>
  <c r="V204" i="4"/>
  <c r="V224" i="4" s="1"/>
  <c r="V36" i="3" s="1"/>
  <c r="W204" i="4"/>
  <c r="W224" i="4" s="1"/>
  <c r="W36" i="3" s="1"/>
  <c r="X204" i="4"/>
  <c r="X224" i="4" s="1"/>
  <c r="X36" i="3" s="1"/>
  <c r="Y204" i="4"/>
  <c r="Y224" i="4" s="1"/>
  <c r="Y36" i="3" s="1"/>
  <c r="Z204" i="4"/>
  <c r="Z224" i="4" s="1"/>
  <c r="Z36" i="3" s="1"/>
  <c r="AA204" i="4"/>
  <c r="AA224" i="4" s="1"/>
  <c r="AA36" i="3" s="1"/>
  <c r="AB204" i="4"/>
  <c r="AC204" i="4"/>
  <c r="AD204" i="4"/>
  <c r="AE204" i="4"/>
  <c r="AE224" i="4" s="1"/>
  <c r="AE36" i="3" s="1"/>
  <c r="AF204" i="4"/>
  <c r="AF224" i="4" s="1"/>
  <c r="AF36" i="3" s="1"/>
  <c r="AG204" i="4"/>
  <c r="AG224" i="4" s="1"/>
  <c r="AG36" i="3" s="1"/>
  <c r="AH204" i="4"/>
  <c r="AI204" i="4"/>
  <c r="AI224" i="4" s="1"/>
  <c r="AI36" i="3" s="1"/>
  <c r="AJ204" i="4"/>
  <c r="AK204" i="4"/>
  <c r="AK224" i="4" s="1"/>
  <c r="AL204" i="4"/>
  <c r="AL224" i="4" s="1"/>
  <c r="AL36" i="3" s="1"/>
  <c r="AM204" i="4"/>
  <c r="AM224" i="4" s="1"/>
  <c r="AM36" i="3" s="1"/>
  <c r="AN204" i="4"/>
  <c r="AN224" i="4" s="1"/>
  <c r="AN36" i="3" s="1"/>
  <c r="AO204" i="4"/>
  <c r="AO224" i="4" s="1"/>
  <c r="AO36" i="3" s="1"/>
  <c r="AP204" i="4"/>
  <c r="AP224" i="4" s="1"/>
  <c r="AP36" i="3" s="1"/>
  <c r="AQ204" i="4"/>
  <c r="AR204" i="4"/>
  <c r="AR224" i="4" s="1"/>
  <c r="AR36" i="3" s="1"/>
  <c r="AS204" i="4"/>
  <c r="AS224" i="4" s="1"/>
  <c r="AS36" i="3" s="1"/>
  <c r="AT204" i="4"/>
  <c r="AT224" i="4" s="1"/>
  <c r="AT36" i="3" s="1"/>
  <c r="AU204" i="4"/>
  <c r="AU224" i="4" s="1"/>
  <c r="AU36" i="3" s="1"/>
  <c r="F224" i="4"/>
  <c r="H224" i="4"/>
  <c r="J224" i="4"/>
  <c r="L224" i="4"/>
  <c r="AB224" i="4"/>
  <c r="AB36" i="3" s="1"/>
  <c r="AC224" i="4"/>
  <c r="AC36" i="3" s="1"/>
  <c r="AD224" i="4"/>
  <c r="AD36" i="3" s="1"/>
  <c r="AH224" i="4"/>
  <c r="AH36" i="3" s="1"/>
  <c r="AJ224" i="4"/>
  <c r="AJ36" i="3" s="1"/>
  <c r="AQ224" i="4"/>
  <c r="AQ36" i="3" s="1"/>
  <c r="AV224" i="4"/>
  <c r="AW224" i="4"/>
  <c r="AX224" i="4"/>
  <c r="AY224" i="4"/>
  <c r="H246" i="4"/>
  <c r="J246" i="4"/>
  <c r="O226" i="4"/>
  <c r="R226" i="4"/>
  <c r="R246" i="4" s="1"/>
  <c r="R37" i="3" s="1"/>
  <c r="S226" i="4"/>
  <c r="S246" i="4" s="1"/>
  <c r="S37" i="3" s="1"/>
  <c r="U226" i="4"/>
  <c r="U246" i="4" s="1"/>
  <c r="U37" i="3" s="1"/>
  <c r="V226" i="4"/>
  <c r="W226" i="4"/>
  <c r="W246" i="4" s="1"/>
  <c r="X226" i="4"/>
  <c r="X246" i="4" s="1"/>
  <c r="X37" i="3" s="1"/>
  <c r="Y226" i="4"/>
  <c r="Y246" i="4" s="1"/>
  <c r="Z226" i="4"/>
  <c r="AA226" i="4"/>
  <c r="AA246" i="4" s="1"/>
  <c r="AB226" i="4"/>
  <c r="AC226" i="4"/>
  <c r="AC246" i="4" s="1"/>
  <c r="AC37" i="3" s="1"/>
  <c r="AD226" i="4"/>
  <c r="AD246" i="4" s="1"/>
  <c r="AD37" i="3" s="1"/>
  <c r="AE226" i="4"/>
  <c r="AE246" i="4" s="1"/>
  <c r="AE37" i="3" s="1"/>
  <c r="AF226" i="4"/>
  <c r="AF246" i="4" s="1"/>
  <c r="AF37" i="3" s="1"/>
  <c r="AG226" i="4"/>
  <c r="AG246" i="4" s="1"/>
  <c r="AG37" i="3" s="1"/>
  <c r="AH226" i="4"/>
  <c r="AH246" i="4" s="1"/>
  <c r="AH37" i="3" s="1"/>
  <c r="AI226" i="4"/>
  <c r="AI246" i="4" s="1"/>
  <c r="AI37" i="3" s="1"/>
  <c r="AJ226" i="4"/>
  <c r="AJ246" i="4" s="1"/>
  <c r="AJ37" i="3" s="1"/>
  <c r="AL226" i="4"/>
  <c r="AL246" i="4" s="1"/>
  <c r="AL37" i="3" s="1"/>
  <c r="AM226" i="4"/>
  <c r="AM246" i="4" s="1"/>
  <c r="AM37" i="3" s="1"/>
  <c r="AN226" i="4"/>
  <c r="AN246" i="4" s="1"/>
  <c r="AN37" i="3" s="1"/>
  <c r="AO226" i="4"/>
  <c r="AO246" i="4" s="1"/>
  <c r="AO37" i="3" s="1"/>
  <c r="AP226" i="4"/>
  <c r="AP246" i="4" s="1"/>
  <c r="AP37" i="3" s="1"/>
  <c r="AQ226" i="4"/>
  <c r="AQ246" i="4" s="1"/>
  <c r="AQ37" i="3" s="1"/>
  <c r="AR226" i="4"/>
  <c r="AR246" i="4" s="1"/>
  <c r="AR37" i="3" s="1"/>
  <c r="AS226" i="4"/>
  <c r="AS246" i="4" s="1"/>
  <c r="AS37" i="3" s="1"/>
  <c r="AT226" i="4"/>
  <c r="AT246" i="4" s="1"/>
  <c r="AT37" i="3" s="1"/>
  <c r="AU226" i="4"/>
  <c r="AU246" i="4" s="1"/>
  <c r="V246" i="4"/>
  <c r="V37" i="3" s="1"/>
  <c r="Z246" i="4"/>
  <c r="Z37" i="3" s="1"/>
  <c r="AB246" i="4"/>
  <c r="AB37" i="3" s="1"/>
  <c r="AV246" i="4"/>
  <c r="AW246" i="4"/>
  <c r="AX246" i="4"/>
  <c r="AY246" i="4"/>
  <c r="O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AJ248" i="4"/>
  <c r="AK248" i="4"/>
  <c r="AL248" i="4"/>
  <c r="AM248" i="4"/>
  <c r="AN248" i="4"/>
  <c r="AO248" i="4"/>
  <c r="AP248" i="4"/>
  <c r="AQ248" i="4"/>
  <c r="AR248" i="4"/>
  <c r="AR268" i="4" s="1"/>
  <c r="AR38" i="3" s="1"/>
  <c r="AS248" i="4"/>
  <c r="AT248" i="4"/>
  <c r="AU248" i="4"/>
  <c r="R249" i="4"/>
  <c r="O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AF249" i="4"/>
  <c r="AG249" i="4"/>
  <c r="AH249" i="4"/>
  <c r="AI249" i="4"/>
  <c r="AJ249" i="4"/>
  <c r="AK249" i="4"/>
  <c r="AL249" i="4"/>
  <c r="AM249" i="4"/>
  <c r="AN249" i="4"/>
  <c r="AO249" i="4"/>
  <c r="AP249" i="4"/>
  <c r="AQ249" i="4"/>
  <c r="AR249" i="4"/>
  <c r="AS249" i="4"/>
  <c r="AT249" i="4"/>
  <c r="AU249" i="4"/>
  <c r="J268" i="4"/>
  <c r="R268" i="4"/>
  <c r="R38" i="3" s="1"/>
  <c r="Z268" i="4"/>
  <c r="Z38" i="3" s="1"/>
  <c r="AT268" i="4"/>
  <c r="AT38" i="3" s="1"/>
  <c r="AV268" i="4"/>
  <c r="AW268" i="4"/>
  <c r="AX268" i="4"/>
  <c r="AY268" i="4"/>
  <c r="O270" i="4"/>
  <c r="R270" i="4"/>
  <c r="R290" i="4" s="1"/>
  <c r="R6" i="3" s="1"/>
  <c r="S270" i="4"/>
  <c r="S290" i="4" s="1"/>
  <c r="S6" i="3" s="1"/>
  <c r="T270" i="4"/>
  <c r="U270" i="4"/>
  <c r="U290" i="4" s="1"/>
  <c r="U6" i="3" s="1"/>
  <c r="V270" i="4"/>
  <c r="W270" i="4"/>
  <c r="W290" i="4" s="1"/>
  <c r="W6" i="3" s="1"/>
  <c r="X270" i="4"/>
  <c r="Y270" i="4"/>
  <c r="Y290" i="4" s="1"/>
  <c r="Z270" i="4"/>
  <c r="AA270" i="4"/>
  <c r="AA290" i="4" s="1"/>
  <c r="AA6" i="3" s="1"/>
  <c r="AB270" i="4"/>
  <c r="AB290" i="4" s="1"/>
  <c r="AB6" i="3" s="1"/>
  <c r="AC270" i="4"/>
  <c r="AC290" i="4" s="1"/>
  <c r="AC6" i="3" s="1"/>
  <c r="AD270" i="4"/>
  <c r="AD290" i="4" s="1"/>
  <c r="AD6" i="3" s="1"/>
  <c r="AE270" i="4"/>
  <c r="AE290" i="4" s="1"/>
  <c r="AE6" i="3" s="1"/>
  <c r="AF270" i="4"/>
  <c r="AF290" i="4" s="1"/>
  <c r="AF6" i="3" s="1"/>
  <c r="AG270" i="4"/>
  <c r="AH270" i="4"/>
  <c r="AI270" i="4"/>
  <c r="AJ270" i="4"/>
  <c r="AJ290" i="4" s="1"/>
  <c r="AJ6" i="3" s="1"/>
  <c r="AK270" i="4"/>
  <c r="AK290" i="4" s="1"/>
  <c r="AL270" i="4"/>
  <c r="AL290" i="4" s="1"/>
  <c r="AL6" i="3" s="1"/>
  <c r="AM270" i="4"/>
  <c r="AM290" i="4" s="1"/>
  <c r="AM6" i="3" s="1"/>
  <c r="AN270" i="4"/>
  <c r="AN290" i="4" s="1"/>
  <c r="AN6" i="3" s="1"/>
  <c r="AO270" i="4"/>
  <c r="AO290" i="4" s="1"/>
  <c r="AO6" i="3" s="1"/>
  <c r="AP270" i="4"/>
  <c r="AP290" i="4" s="1"/>
  <c r="AP6" i="3" s="1"/>
  <c r="AQ270" i="4"/>
  <c r="AQ290" i="4" s="1"/>
  <c r="AQ6" i="3" s="1"/>
  <c r="AR270" i="4"/>
  <c r="AR290" i="4" s="1"/>
  <c r="AS270" i="4"/>
  <c r="AT270" i="4"/>
  <c r="AT290" i="4" s="1"/>
  <c r="AT6" i="3" s="1"/>
  <c r="AU270" i="4"/>
  <c r="AU290" i="4" s="1"/>
  <c r="AU6" i="3" s="1"/>
  <c r="F290" i="4"/>
  <c r="H290" i="4"/>
  <c r="J290" i="4"/>
  <c r="T290" i="4"/>
  <c r="T6" i="3" s="1"/>
  <c r="V290" i="4"/>
  <c r="V6" i="3" s="1"/>
  <c r="X290" i="4"/>
  <c r="X6" i="3" s="1"/>
  <c r="Z290" i="4"/>
  <c r="Z6" i="3" s="1"/>
  <c r="AG290" i="4"/>
  <c r="AG6" i="3" s="1"/>
  <c r="AH290" i="4"/>
  <c r="AH6" i="3" s="1"/>
  <c r="AI290" i="4"/>
  <c r="AI6" i="3" s="1"/>
  <c r="AS290" i="4"/>
  <c r="AS6" i="3" s="1"/>
  <c r="AV290" i="4"/>
  <c r="AV6" i="3" s="1"/>
  <c r="AW290" i="4"/>
  <c r="AX290" i="4"/>
  <c r="AY290" i="4"/>
  <c r="H312" i="4"/>
  <c r="O292" i="4"/>
  <c r="R292" i="4"/>
  <c r="S292" i="4"/>
  <c r="T292" i="4"/>
  <c r="U292" i="4"/>
  <c r="V292" i="4"/>
  <c r="W292" i="4"/>
  <c r="Y292" i="4"/>
  <c r="Y312" i="4" s="1"/>
  <c r="Y7" i="3" s="1"/>
  <c r="Z292" i="4"/>
  <c r="AA292" i="4"/>
  <c r="AB292" i="4"/>
  <c r="AC292" i="4"/>
  <c r="AD292" i="4"/>
  <c r="AE292" i="4"/>
  <c r="AF292" i="4"/>
  <c r="AG292" i="4"/>
  <c r="AH292" i="4"/>
  <c r="AI292" i="4"/>
  <c r="AJ292" i="4"/>
  <c r="AK292" i="4"/>
  <c r="AL292" i="4"/>
  <c r="AL312" i="4" s="1"/>
  <c r="AL7" i="3" s="1"/>
  <c r="AM292" i="4"/>
  <c r="AN292" i="4"/>
  <c r="AO292" i="4"/>
  <c r="AP292" i="4"/>
  <c r="AQ292" i="4"/>
  <c r="AR292" i="4"/>
  <c r="AS292" i="4"/>
  <c r="AT292" i="4"/>
  <c r="AU292" i="4"/>
  <c r="X293" i="4"/>
  <c r="O293" i="4"/>
  <c r="R293" i="4"/>
  <c r="S293" i="4"/>
  <c r="T293" i="4"/>
  <c r="U293" i="4"/>
  <c r="V293" i="4"/>
  <c r="W293" i="4"/>
  <c r="Y293" i="4"/>
  <c r="Z293" i="4"/>
  <c r="AA293" i="4"/>
  <c r="AB293" i="4"/>
  <c r="AC293" i="4"/>
  <c r="AD293" i="4"/>
  <c r="AE293" i="4"/>
  <c r="AF293" i="4"/>
  <c r="AG293" i="4"/>
  <c r="AH293" i="4"/>
  <c r="AI293" i="4"/>
  <c r="AJ293" i="4"/>
  <c r="AK293" i="4"/>
  <c r="AK312" i="4" s="1"/>
  <c r="AK7" i="3" s="1"/>
  <c r="AL293" i="4"/>
  <c r="AM293" i="4"/>
  <c r="AN293" i="4"/>
  <c r="AO293" i="4"/>
  <c r="AP293" i="4"/>
  <c r="AQ293" i="4"/>
  <c r="AR293" i="4"/>
  <c r="AS293" i="4"/>
  <c r="AT293" i="4"/>
  <c r="AU293" i="4"/>
  <c r="O294" i="4"/>
  <c r="R294" i="4"/>
  <c r="S294" i="4"/>
  <c r="T294" i="4"/>
  <c r="T312" i="4" s="1"/>
  <c r="T7" i="3" s="1"/>
  <c r="U294" i="4"/>
  <c r="U312" i="4" s="1"/>
  <c r="U7" i="3" s="1"/>
  <c r="V294" i="4"/>
  <c r="W294" i="4"/>
  <c r="Y294" i="4"/>
  <c r="Z294" i="4"/>
  <c r="AA294" i="4"/>
  <c r="AB294" i="4"/>
  <c r="AC294" i="4"/>
  <c r="AD294" i="4"/>
  <c r="AE294" i="4"/>
  <c r="AF294" i="4"/>
  <c r="AG294" i="4"/>
  <c r="AH294" i="4"/>
  <c r="AI294" i="4"/>
  <c r="AJ294" i="4"/>
  <c r="AK294" i="4"/>
  <c r="AL294" i="4"/>
  <c r="AM294" i="4"/>
  <c r="AN294" i="4"/>
  <c r="AN312" i="4" s="1"/>
  <c r="AN7" i="3" s="1"/>
  <c r="AO294" i="4"/>
  <c r="AP294" i="4"/>
  <c r="AQ294" i="4"/>
  <c r="AR294" i="4"/>
  <c r="AS294" i="4"/>
  <c r="AT294" i="4"/>
  <c r="AU294" i="4"/>
  <c r="O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AF295" i="4"/>
  <c r="AG295" i="4"/>
  <c r="AH295" i="4"/>
  <c r="AI295" i="4"/>
  <c r="AJ295" i="4"/>
  <c r="AK295" i="4"/>
  <c r="AL295" i="4"/>
  <c r="AM295" i="4"/>
  <c r="AN295" i="4"/>
  <c r="AO295" i="4"/>
  <c r="AP295" i="4"/>
  <c r="AQ295" i="4"/>
  <c r="AR295" i="4"/>
  <c r="AS295" i="4"/>
  <c r="AT295" i="4"/>
  <c r="AU295" i="4"/>
  <c r="AV312" i="4"/>
  <c r="AV7" i="3" s="1"/>
  <c r="AW312" i="4"/>
  <c r="AX312" i="4"/>
  <c r="AY312" i="4"/>
  <c r="Y6" i="3"/>
  <c r="AK6" i="3"/>
  <c r="AR6" i="3"/>
  <c r="AW26" i="3"/>
  <c r="AX26" i="3"/>
  <c r="AY26" i="3"/>
  <c r="AV28" i="3"/>
  <c r="AV29" i="3"/>
  <c r="X31" i="3"/>
  <c r="AR31" i="3"/>
  <c r="AV31" i="3"/>
  <c r="AV32" i="3"/>
  <c r="AV33" i="3"/>
  <c r="AV34" i="3"/>
  <c r="AK36" i="3"/>
  <c r="AV36" i="3"/>
  <c r="W37" i="3"/>
  <c r="Y37" i="3"/>
  <c r="AA37" i="3"/>
  <c r="AU37" i="3"/>
  <c r="AV37" i="3"/>
  <c r="AV38" i="3"/>
  <c r="AW48" i="3"/>
  <c r="AX48" i="3"/>
  <c r="AY48" i="3"/>
  <c r="D8" i="2"/>
  <c r="D11" i="2"/>
  <c r="D12" i="2"/>
  <c r="D16" i="2"/>
  <c r="D18" i="2"/>
  <c r="D23" i="2"/>
  <c r="D24" i="2"/>
  <c r="D27" i="2"/>
  <c r="D28" i="2"/>
  <c r="D32" i="2"/>
  <c r="AU312" i="4" l="1"/>
  <c r="AU7" i="3" s="1"/>
  <c r="AT312" i="4"/>
  <c r="AT7" i="3" s="1"/>
  <c r="AM312" i="4"/>
  <c r="AM7" i="3" s="1"/>
  <c r="Z312" i="4"/>
  <c r="Z7" i="3" s="1"/>
  <c r="AS312" i="4"/>
  <c r="AS7" i="3" s="1"/>
  <c r="AG312" i="4"/>
  <c r="AG7" i="3" s="1"/>
  <c r="AF312" i="4"/>
  <c r="AF7" i="3" s="1"/>
  <c r="AJ312" i="4"/>
  <c r="AJ7" i="3" s="1"/>
  <c r="AC312" i="4"/>
  <c r="AC7" i="3" s="1"/>
  <c r="W268" i="4"/>
  <c r="W38" i="3" s="1"/>
  <c r="AN268" i="4"/>
  <c r="AN38" i="3" s="1"/>
  <c r="AC268" i="4"/>
  <c r="AC38" i="3" s="1"/>
  <c r="V268" i="4"/>
  <c r="V38" i="3" s="1"/>
  <c r="U268" i="4"/>
  <c r="U38" i="3" s="1"/>
  <c r="AM268" i="4"/>
  <c r="AM38" i="3" s="1"/>
  <c r="S268" i="4"/>
  <c r="S38" i="3" s="1"/>
  <c r="AL268" i="4"/>
  <c r="AL38" i="3" s="1"/>
  <c r="AB268" i="4"/>
  <c r="AB38" i="3" s="1"/>
  <c r="AA268" i="4"/>
  <c r="AA38" i="3" s="1"/>
  <c r="T268" i="4"/>
  <c r="T38" i="3" s="1"/>
  <c r="AU268" i="4"/>
  <c r="AU38" i="3" s="1"/>
  <c r="AO268" i="4"/>
  <c r="AO38" i="3" s="1"/>
  <c r="AS268" i="4"/>
  <c r="AS38" i="3" s="1"/>
  <c r="Y268" i="4"/>
  <c r="Y38" i="3" s="1"/>
  <c r="AA202" i="4"/>
  <c r="AA35" i="3" s="1"/>
  <c r="AO202" i="4"/>
  <c r="AO35" i="3" s="1"/>
  <c r="Z202" i="4"/>
  <c r="Z35" i="3" s="1"/>
  <c r="Y202" i="4"/>
  <c r="Y35" i="3" s="1"/>
  <c r="AQ202" i="4"/>
  <c r="AQ35" i="3" s="1"/>
  <c r="AP180" i="4"/>
  <c r="AP34" i="3" s="1"/>
  <c r="AK180" i="4"/>
  <c r="AK34" i="3" s="1"/>
  <c r="V180" i="4"/>
  <c r="V34" i="3" s="1"/>
  <c r="T180" i="4"/>
  <c r="T34" i="3" s="1"/>
  <c r="U180" i="4"/>
  <c r="U34" i="3" s="1"/>
  <c r="AU158" i="4"/>
  <c r="AU33" i="3" s="1"/>
  <c r="AP158" i="4"/>
  <c r="AP33" i="3" s="1"/>
  <c r="X158" i="4"/>
  <c r="X33" i="3" s="1"/>
  <c r="W158" i="4"/>
  <c r="W33" i="3" s="1"/>
  <c r="AQ114" i="4"/>
  <c r="AQ32" i="3" s="1"/>
  <c r="W114" i="4"/>
  <c r="W32" i="3" s="1"/>
  <c r="AP114" i="4"/>
  <c r="AP32" i="3" s="1"/>
  <c r="V114" i="4"/>
  <c r="V32" i="3" s="1"/>
  <c r="AT114" i="4"/>
  <c r="AT32" i="3" s="1"/>
  <c r="Z114" i="4"/>
  <c r="Z32" i="3" s="1"/>
  <c r="AH114" i="4"/>
  <c r="AH32" i="3" s="1"/>
  <c r="AC48" i="4"/>
  <c r="AC29" i="3" s="1"/>
  <c r="Y48" i="4"/>
  <c r="Y29" i="3" s="1"/>
  <c r="AD48" i="4"/>
  <c r="AD29" i="3" s="1"/>
  <c r="S26" i="4"/>
  <c r="S28" i="3" s="1"/>
  <c r="AF26" i="4"/>
  <c r="AF28" i="3" s="1"/>
  <c r="Y26" i="4"/>
  <c r="Y28" i="3" s="1"/>
  <c r="AB26" i="4"/>
  <c r="AB28" i="3" s="1"/>
  <c r="AU26" i="4"/>
  <c r="AU28" i="3" s="1"/>
  <c r="AA26" i="4"/>
  <c r="AA28" i="3" s="1"/>
  <c r="AG26" i="4"/>
  <c r="AG28" i="3" s="1"/>
  <c r="F114" i="4"/>
  <c r="AP268" i="4"/>
  <c r="AP38" i="3" s="1"/>
  <c r="AI268" i="4"/>
  <c r="AI38" i="3" s="1"/>
  <c r="AQ180" i="4"/>
  <c r="AQ34" i="3" s="1"/>
  <c r="AQ158" i="4"/>
  <c r="AQ33" i="3" s="1"/>
  <c r="X114" i="4"/>
  <c r="X32" i="3" s="1"/>
  <c r="AP48" i="4"/>
  <c r="AP29" i="3" s="1"/>
  <c r="V48" i="4"/>
  <c r="V29" i="3" s="1"/>
  <c r="H26" i="4"/>
  <c r="Y158" i="4"/>
  <c r="Y33" i="3" s="1"/>
  <c r="X70" i="4"/>
  <c r="X30" i="3" s="1"/>
  <c r="AQ48" i="4"/>
  <c r="AQ29" i="3" s="1"/>
  <c r="Z26" i="4"/>
  <c r="Z28" i="3" s="1"/>
  <c r="W70" i="4"/>
  <c r="W30" i="3" s="1"/>
  <c r="T70" i="4"/>
  <c r="T30" i="3" s="1"/>
  <c r="AH26" i="4"/>
  <c r="AH28" i="3" s="1"/>
  <c r="AR26" i="4"/>
  <c r="AR28" i="3" s="1"/>
  <c r="AB312" i="4"/>
  <c r="AB7" i="3" s="1"/>
  <c r="AN158" i="4"/>
  <c r="AN33" i="3" s="1"/>
  <c r="AD312" i="4"/>
  <c r="AD7" i="3" s="1"/>
  <c r="AO158" i="4"/>
  <c r="AO33" i="3" s="1"/>
  <c r="AM114" i="4"/>
  <c r="AM32" i="3" s="1"/>
  <c r="AL114" i="4"/>
  <c r="AL32" i="3" s="1"/>
  <c r="AR180" i="4"/>
  <c r="AR34" i="3" s="1"/>
  <c r="AK114" i="4"/>
  <c r="AK32" i="3" s="1"/>
  <c r="AE114" i="4"/>
  <c r="AE32" i="3" s="1"/>
  <c r="AJ180" i="4"/>
  <c r="AJ34" i="3" s="1"/>
  <c r="AJ70" i="4"/>
  <c r="AJ30" i="3" s="1"/>
  <c r="AA158" i="4"/>
  <c r="AA33" i="3" s="1"/>
  <c r="AI70" i="4"/>
  <c r="AI30" i="3" s="1"/>
  <c r="J92" i="4"/>
  <c r="AN180" i="4"/>
  <c r="AN34" i="3" s="1"/>
  <c r="AF114" i="4"/>
  <c r="AF32" i="3" s="1"/>
  <c r="W48" i="4"/>
  <c r="W29" i="3" s="1"/>
  <c r="AN70" i="4"/>
  <c r="AN30" i="3" s="1"/>
  <c r="W312" i="4"/>
  <c r="W7" i="3" s="1"/>
  <c r="U114" i="4"/>
  <c r="U32" i="3" s="1"/>
  <c r="AQ26" i="4"/>
  <c r="AQ28" i="3" s="1"/>
  <c r="AH180" i="4"/>
  <c r="AH34" i="3" s="1"/>
  <c r="AA312" i="4"/>
  <c r="AA7" i="3" s="1"/>
  <c r="S158" i="4"/>
  <c r="S33" i="3" s="1"/>
  <c r="Y114" i="4"/>
  <c r="Y32" i="3" s="1"/>
  <c r="AB48" i="4"/>
  <c r="AB29" i="3" s="1"/>
  <c r="Z48" i="4"/>
  <c r="Z29" i="3" s="1"/>
  <c r="S114" i="4"/>
  <c r="S32" i="3" s="1"/>
  <c r="AG114" i="4"/>
  <c r="AG32" i="3" s="1"/>
  <c r="AA48" i="4"/>
  <c r="AA29" i="3" s="1"/>
  <c r="AL26" i="4"/>
  <c r="AL28" i="3" s="1"/>
  <c r="AD268" i="4"/>
  <c r="AD38" i="3" s="1"/>
  <c r="AK26" i="4"/>
  <c r="AK28" i="3" s="1"/>
  <c r="AI180" i="4"/>
  <c r="AI34" i="3" s="1"/>
  <c r="AH70" i="4"/>
  <c r="AH30" i="3" s="1"/>
  <c r="AH312" i="4"/>
  <c r="AH7" i="3" s="1"/>
  <c r="J312" i="4"/>
  <c r="X268" i="4"/>
  <c r="X38" i="3" s="1"/>
  <c r="AK268" i="4"/>
  <c r="AK38" i="3" s="1"/>
  <c r="AN48" i="4"/>
  <c r="AN29" i="3" s="1"/>
  <c r="Z158" i="4"/>
  <c r="Z33" i="3" s="1"/>
  <c r="AO180" i="4"/>
  <c r="AO34" i="3" s="1"/>
  <c r="AS180" i="4"/>
  <c r="AS34" i="3" s="1"/>
  <c r="AS70" i="4"/>
  <c r="AS30" i="3" s="1"/>
  <c r="AT26" i="4"/>
  <c r="AT28" i="3" s="1"/>
  <c r="AQ70" i="4"/>
  <c r="AQ30" i="3" s="1"/>
  <c r="AS26" i="4"/>
  <c r="AS28" i="3" s="1"/>
  <c r="X26" i="4"/>
  <c r="X28" i="3" s="1"/>
  <c r="AO114" i="4"/>
  <c r="AO32" i="3" s="1"/>
  <c r="V70" i="4"/>
  <c r="V30" i="3" s="1"/>
  <c r="AC26" i="4"/>
  <c r="AC28" i="3" s="1"/>
  <c r="AU114" i="4"/>
  <c r="AU32" i="3" s="1"/>
  <c r="AH268" i="4"/>
  <c r="AH38" i="3" s="1"/>
  <c r="AI26" i="4"/>
  <c r="AI28" i="3" s="1"/>
  <c r="AJ26" i="4"/>
  <c r="AJ28" i="3" s="1"/>
  <c r="AQ268" i="4"/>
  <c r="AQ38" i="3" s="1"/>
  <c r="AJ268" i="4"/>
  <c r="AJ38" i="3" s="1"/>
  <c r="AM180" i="4"/>
  <c r="AM34" i="3" s="1"/>
  <c r="S180" i="4"/>
  <c r="S34" i="3" s="1"/>
  <c r="AC158" i="4"/>
  <c r="AC33" i="3" s="1"/>
  <c r="AA70" i="4"/>
  <c r="AA30" i="3" s="1"/>
  <c r="AB70" i="4"/>
  <c r="AB30" i="3" s="1"/>
  <c r="AV48" i="3"/>
  <c r="AV5" i="3" s="1"/>
  <c r="AV26" i="3" s="1"/>
  <c r="AL180" i="4"/>
  <c r="AL34" i="3" s="1"/>
  <c r="R180" i="4"/>
  <c r="R34" i="3" s="1"/>
  <c r="AT70" i="4"/>
  <c r="AT30" i="3" s="1"/>
  <c r="Y70" i="4"/>
  <c r="Y30" i="3" s="1"/>
  <c r="AP202" i="4"/>
  <c r="AP35" i="3" s="1"/>
  <c r="AB158" i="4"/>
  <c r="AB33" i="3" s="1"/>
  <c r="AJ48" i="4"/>
  <c r="AJ29" i="3" s="1"/>
  <c r="R119" i="4"/>
  <c r="J158" i="4"/>
  <c r="R94" i="4"/>
  <c r="R114" i="4" s="1"/>
  <c r="R32" i="3" s="1"/>
  <c r="J114" i="4"/>
  <c r="X292" i="4"/>
  <c r="F312" i="4"/>
  <c r="AR70" i="4"/>
  <c r="AR30" i="3" s="1"/>
  <c r="AJ202" i="4"/>
  <c r="AJ35" i="3" s="1"/>
  <c r="AG180" i="4"/>
  <c r="AG34" i="3" s="1"/>
  <c r="AD158" i="4"/>
  <c r="AD33" i="3" s="1"/>
  <c r="AI202" i="4"/>
  <c r="AI35" i="3" s="1"/>
  <c r="V312" i="4"/>
  <c r="V7" i="3" s="1"/>
  <c r="AB180" i="4"/>
  <c r="AB34" i="3" s="1"/>
  <c r="F48" i="4"/>
  <c r="AU70" i="4"/>
  <c r="AU30" i="3" s="1"/>
  <c r="Z70" i="4"/>
  <c r="Z30" i="3" s="1"/>
  <c r="AF180" i="4"/>
  <c r="AF34" i="3" s="1"/>
  <c r="AP312" i="4"/>
  <c r="AP7" i="3" s="1"/>
  <c r="T226" i="4"/>
  <c r="T246" i="4" s="1"/>
  <c r="T37" i="3" s="1"/>
  <c r="F246" i="4"/>
  <c r="AK226" i="4"/>
  <c r="AK246" i="4" s="1"/>
  <c r="AK37" i="3" s="1"/>
  <c r="S202" i="4"/>
  <c r="S35" i="3" s="1"/>
  <c r="AI48" i="4"/>
  <c r="AI29" i="3" s="1"/>
  <c r="AR158" i="4"/>
  <c r="AR33" i="3" s="1"/>
  <c r="AH48" i="4"/>
  <c r="AH29" i="3" s="1"/>
  <c r="AL48" i="4"/>
  <c r="AL29" i="3" s="1"/>
  <c r="X294" i="4"/>
  <c r="AR312" i="4"/>
  <c r="AR7" i="3" s="1"/>
  <c r="T48" i="4"/>
  <c r="T29" i="3" s="1"/>
  <c r="AP70" i="4"/>
  <c r="AP30" i="3" s="1"/>
  <c r="R28" i="4"/>
  <c r="R48" i="4" s="1"/>
  <c r="R29" i="3" s="1"/>
  <c r="J48" i="4"/>
  <c r="AK48" i="4"/>
  <c r="AK29" i="3" s="1"/>
  <c r="AT158" i="4"/>
  <c r="AT33" i="3" s="1"/>
  <c r="AS158" i="4"/>
  <c r="AS33" i="3" s="1"/>
  <c r="AG48" i="4"/>
  <c r="AG29" i="3" s="1"/>
  <c r="J180" i="4"/>
  <c r="AF48" i="4"/>
  <c r="AF29" i="3" s="1"/>
  <c r="AC202" i="4"/>
  <c r="AC35" i="3" s="1"/>
  <c r="AE48" i="4"/>
  <c r="AE29" i="3" s="1"/>
  <c r="AQ312" i="4"/>
  <c r="AQ7" i="3" s="1"/>
  <c r="AC180" i="4"/>
  <c r="AC34" i="3" s="1"/>
  <c r="H70" i="4"/>
  <c r="H48" i="4"/>
  <c r="AM48" i="4"/>
  <c r="AM29" i="3" s="1"/>
  <c r="S48" i="4"/>
  <c r="S29" i="3" s="1"/>
  <c r="AM26" i="4"/>
  <c r="AM28" i="3" s="1"/>
  <c r="U158" i="4"/>
  <c r="U33" i="3" s="1"/>
  <c r="AU180" i="4"/>
  <c r="AU34" i="3" s="1"/>
  <c r="J70" i="4"/>
  <c r="S312" i="4"/>
  <c r="S7" i="3" s="1"/>
  <c r="W202" i="4"/>
  <c r="W35" i="3" s="1"/>
  <c r="Y180" i="4"/>
  <c r="Y34" i="3" s="1"/>
  <c r="V158" i="4"/>
  <c r="V33" i="3" s="1"/>
  <c r="AI158" i="4"/>
  <c r="AI33" i="3" s="1"/>
  <c r="AS114" i="4"/>
  <c r="AS32" i="3" s="1"/>
  <c r="AF70" i="4"/>
  <c r="AF30" i="3" s="1"/>
  <c r="AS48" i="4"/>
  <c r="AS29" i="3" s="1"/>
  <c r="X180" i="4"/>
  <c r="X34" i="3" s="1"/>
  <c r="AA114" i="4"/>
  <c r="AA32" i="3" s="1"/>
  <c r="AE70" i="4"/>
  <c r="AE30" i="3" s="1"/>
  <c r="AR48" i="4"/>
  <c r="AR29" i="3" s="1"/>
  <c r="J26" i="4"/>
  <c r="AL158" i="4"/>
  <c r="AL33" i="3" s="1"/>
  <c r="AT180" i="4"/>
  <c r="AT34" i="3" s="1"/>
  <c r="T158" i="4"/>
  <c r="T33" i="3" s="1"/>
  <c r="AL70" i="4"/>
  <c r="AL30" i="3" s="1"/>
  <c r="R26" i="4"/>
  <c r="R28" i="3" s="1"/>
  <c r="AO312" i="4"/>
  <c r="AO7" i="3" s="1"/>
  <c r="AS202" i="4"/>
  <c r="AS35" i="3" s="1"/>
  <c r="AA180" i="4"/>
  <c r="AA34" i="3" s="1"/>
  <c r="AM158" i="4"/>
  <c r="AM33" i="3" s="1"/>
  <c r="AU48" i="4"/>
  <c r="AU29" i="3" s="1"/>
  <c r="AR202" i="4"/>
  <c r="AR35" i="3" s="1"/>
  <c r="AD180" i="4"/>
  <c r="AD34" i="3" s="1"/>
  <c r="Z180" i="4"/>
  <c r="Z34" i="3" s="1"/>
  <c r="AJ158" i="4"/>
  <c r="AJ33" i="3" s="1"/>
  <c r="AG70" i="4"/>
  <c r="AG30" i="3" s="1"/>
  <c r="AT48" i="4"/>
  <c r="AT29" i="3" s="1"/>
  <c r="AU202" i="4"/>
  <c r="AU35" i="3" s="1"/>
  <c r="V202" i="4"/>
  <c r="V35" i="3" s="1"/>
  <c r="AE180" i="4"/>
  <c r="AE34" i="3" s="1"/>
  <c r="AH158" i="4"/>
  <c r="AH33" i="3" s="1"/>
  <c r="AR114" i="4"/>
  <c r="AR32" i="3" s="1"/>
  <c r="AE202" i="4"/>
  <c r="AE35" i="3" s="1"/>
  <c r="AT202" i="4"/>
  <c r="AT35" i="3" s="1"/>
  <c r="U202" i="4"/>
  <c r="U35" i="3" s="1"/>
  <c r="AG158" i="4"/>
  <c r="AG33" i="3" s="1"/>
  <c r="AD70" i="4"/>
  <c r="AD30" i="3" s="1"/>
  <c r="AE268" i="4"/>
  <c r="AE38" i="3" s="1"/>
  <c r="AD202" i="4"/>
  <c r="AD35" i="3" s="1"/>
  <c r="T202" i="4"/>
  <c r="T35" i="3" s="1"/>
  <c r="AF158" i="4"/>
  <c r="AF33" i="3" s="1"/>
  <c r="AC70" i="4"/>
  <c r="AC30" i="3" s="1"/>
  <c r="AK158" i="4"/>
  <c r="AK33" i="3" s="1"/>
  <c r="X202" i="4"/>
  <c r="X35" i="3" s="1"/>
  <c r="R312" i="4"/>
  <c r="R7" i="3" s="1"/>
  <c r="AI312" i="4"/>
  <c r="AI7" i="3" s="1"/>
  <c r="AE158" i="4"/>
  <c r="AE33" i="3" s="1"/>
  <c r="H180" i="4"/>
  <c r="T114" i="4"/>
  <c r="T32" i="3" s="1"/>
  <c r="V26" i="4"/>
  <c r="V28" i="3" s="1"/>
  <c r="AE312" i="4"/>
  <c r="AE7" i="3" s="1"/>
  <c r="U26" i="4"/>
  <c r="U28" i="3" s="1"/>
  <c r="AN26" i="4"/>
  <c r="AN28" i="3" s="1"/>
  <c r="T26" i="4"/>
  <c r="T28" i="3" s="1"/>
  <c r="AP26" i="4"/>
  <c r="AP28" i="3" s="1"/>
  <c r="AO26" i="4"/>
  <c r="AO28" i="3" s="1"/>
  <c r="AO70" i="4"/>
  <c r="AO30" i="3" s="1"/>
  <c r="U70" i="4"/>
  <c r="U30" i="3" s="1"/>
  <c r="J202" i="4"/>
  <c r="AM70" i="4"/>
  <c r="AM30" i="3" s="1"/>
  <c r="S70" i="4"/>
  <c r="S30" i="3" s="1"/>
  <c r="AH202" i="4"/>
  <c r="AH35" i="3" s="1"/>
  <c r="AD114" i="4"/>
  <c r="AD32" i="3" s="1"/>
  <c r="AG202" i="4"/>
  <c r="AG35" i="3" s="1"/>
  <c r="AC114" i="4"/>
  <c r="AC32" i="3" s="1"/>
  <c r="L290" i="4"/>
  <c r="AF202" i="4"/>
  <c r="AF35" i="3" s="1"/>
  <c r="F202" i="4"/>
  <c r="AB114" i="4"/>
  <c r="AB32" i="3" s="1"/>
  <c r="AG268" i="4"/>
  <c r="AG38" i="3" s="1"/>
  <c r="H268" i="4"/>
  <c r="AK70" i="4"/>
  <c r="AK30" i="3" s="1"/>
  <c r="R70" i="4"/>
  <c r="R30" i="3" s="1"/>
  <c r="AF268" i="4"/>
  <c r="AF38" i="3" s="1"/>
  <c r="AO48" i="4"/>
  <c r="AO29" i="3" s="1"/>
  <c r="U48" i="4"/>
  <c r="U29" i="3" s="1"/>
  <c r="AH48" i="3" l="1"/>
  <c r="AH5" i="3" s="1"/>
  <c r="AH26" i="3" s="1"/>
  <c r="Y48" i="3"/>
  <c r="Y5" i="3" s="1"/>
  <c r="Y26" i="3" s="1"/>
  <c r="AB48" i="3"/>
  <c r="AB5" i="3" s="1"/>
  <c r="AB26" i="3" s="1"/>
  <c r="AU48" i="3"/>
  <c r="AU5" i="3" s="1"/>
  <c r="AU26" i="3" s="1"/>
  <c r="AC48" i="3"/>
  <c r="AC5" i="3" s="1"/>
  <c r="AC26" i="3" s="1"/>
  <c r="AR48" i="3"/>
  <c r="AR5" i="3" s="1"/>
  <c r="AR26" i="3" s="1"/>
  <c r="AA48" i="3"/>
  <c r="AA5" i="3" s="1"/>
  <c r="AA26" i="3" s="1"/>
  <c r="AQ48" i="3"/>
  <c r="AQ5" i="3" s="1"/>
  <c r="AQ26" i="3" s="1"/>
  <c r="AI48" i="3"/>
  <c r="AI5" i="3" s="1"/>
  <c r="AI26" i="3" s="1"/>
  <c r="X48" i="3"/>
  <c r="X5" i="3" s="1"/>
  <c r="AS48" i="3"/>
  <c r="AS5" i="3" s="1"/>
  <c r="AS26" i="3" s="1"/>
  <c r="S48" i="3"/>
  <c r="S5" i="3" s="1"/>
  <c r="S26" i="3" s="1"/>
  <c r="AF48" i="3"/>
  <c r="AF5" i="3" s="1"/>
  <c r="AF26" i="3" s="1"/>
  <c r="Z48" i="3"/>
  <c r="Z5" i="3" s="1"/>
  <c r="Z26" i="3" s="1"/>
  <c r="AM48" i="3"/>
  <c r="AM5" i="3" s="1"/>
  <c r="AM26" i="3" s="1"/>
  <c r="AO48" i="3"/>
  <c r="AO5" i="3" s="1"/>
  <c r="AO26" i="3" s="1"/>
  <c r="AJ48" i="3"/>
  <c r="AJ5" i="3" s="1"/>
  <c r="AJ26" i="3" s="1"/>
  <c r="F70" i="4"/>
  <c r="L70" i="4" s="1"/>
  <c r="T48" i="3"/>
  <c r="T5" i="3" s="1"/>
  <c r="T26" i="3" s="1"/>
  <c r="AG48" i="3"/>
  <c r="AG5" i="3" s="1"/>
  <c r="AG26" i="3" s="1"/>
  <c r="AN48" i="3"/>
  <c r="AN5" i="3" s="1"/>
  <c r="AN26" i="3" s="1"/>
  <c r="AT48" i="3"/>
  <c r="AT5" i="3" s="1"/>
  <c r="AT26" i="3" s="1"/>
  <c r="AE48" i="3"/>
  <c r="AE5" i="3" s="1"/>
  <c r="AE26" i="3" s="1"/>
  <c r="W48" i="3"/>
  <c r="W5" i="3" s="1"/>
  <c r="W26" i="3" s="1"/>
  <c r="AP48" i="3"/>
  <c r="AP5" i="3" s="1"/>
  <c r="AP26" i="3" s="1"/>
  <c r="AD48" i="3"/>
  <c r="AD5" i="3" s="1"/>
  <c r="AD26" i="3" s="1"/>
  <c r="AL48" i="3"/>
  <c r="AL5" i="3" s="1"/>
  <c r="AL26" i="3" s="1"/>
  <c r="V48" i="3"/>
  <c r="V5" i="3" s="1"/>
  <c r="V26" i="3" s="1"/>
  <c r="AK48" i="3"/>
  <c r="AK5" i="3" s="1"/>
  <c r="AK26" i="3" s="1"/>
  <c r="F180" i="4"/>
  <c r="L246" i="4"/>
  <c r="F268" i="4"/>
  <c r="U48" i="3"/>
  <c r="U5" i="3" s="1"/>
  <c r="U26" i="3" s="1"/>
  <c r="X312" i="4"/>
  <c r="X7" i="3" s="1"/>
  <c r="X26" i="3" s="1"/>
  <c r="R137" i="4"/>
  <c r="R158" i="4" s="1"/>
  <c r="R33" i="3" s="1"/>
  <c r="R48" i="3" s="1"/>
  <c r="R5" i="3" s="1"/>
  <c r="R26" i="3" s="1"/>
  <c r="F92" i="4"/>
  <c r="F158" i="4"/>
  <c r="L114" i="4"/>
  <c r="L312" i="4"/>
  <c r="L202" i="4"/>
  <c r="F26" i="4"/>
  <c r="H158" i="4"/>
  <c r="H48" i="3" s="1"/>
  <c r="J48" i="3"/>
  <c r="L48" i="4"/>
  <c r="L268" i="4" l="1"/>
  <c r="L158" i="4"/>
  <c r="L180" i="4"/>
  <c r="L92" i="4"/>
  <c r="L26" i="4"/>
  <c r="F48" i="3" l="1"/>
  <c r="L48" i="3" l="1"/>
</calcChain>
</file>

<file path=xl/sharedStrings.xml><?xml version="1.0" encoding="utf-8"?>
<sst xmlns="http://schemas.openxmlformats.org/spreadsheetml/2006/main" count="1390" uniqueCount="530">
  <si>
    <t/>
  </si>
  <si>
    <t>총   공   사  금  액</t>
  </si>
  <si>
    <t>Y</t>
  </si>
  <si>
    <t>도    급    금    액</t>
  </si>
  <si>
    <t>H</t>
  </si>
  <si>
    <t>부   가   가  치  세</t>
  </si>
  <si>
    <t>F</t>
  </si>
  <si>
    <t>총       원       가</t>
  </si>
  <si>
    <t>L2</t>
  </si>
  <si>
    <t>작  업   부  산   물</t>
  </si>
  <si>
    <t>L</t>
  </si>
  <si>
    <t>폐  기  물  처 리 비</t>
  </si>
  <si>
    <t>E</t>
  </si>
  <si>
    <t>이                윤</t>
  </si>
  <si>
    <t>D</t>
  </si>
  <si>
    <t>일  반   관   리  비</t>
  </si>
  <si>
    <t>X</t>
  </si>
  <si>
    <t xml:space="preserve">         계</t>
  </si>
  <si>
    <t>C</t>
  </si>
  <si>
    <t>소                계</t>
  </si>
  <si>
    <t>C22</t>
  </si>
  <si>
    <t>임 금 채 권 부 담 금</t>
  </si>
  <si>
    <t>C21</t>
  </si>
  <si>
    <t>석  면  분   담   금</t>
  </si>
  <si>
    <t>C30</t>
  </si>
  <si>
    <t>건설하도급보증수수료</t>
  </si>
  <si>
    <t>C32</t>
  </si>
  <si>
    <t>건설기계대여보증수수료</t>
  </si>
  <si>
    <t>C25</t>
  </si>
  <si>
    <t>환  경  보   전   비</t>
  </si>
  <si>
    <t>U3</t>
  </si>
  <si>
    <t>수  도  광  열    비</t>
  </si>
  <si>
    <t>C20</t>
  </si>
  <si>
    <t>기    타    경    비</t>
  </si>
  <si>
    <t>C15</t>
  </si>
  <si>
    <t>퇴 직 공 제 부 금 비</t>
  </si>
  <si>
    <t>C16</t>
  </si>
  <si>
    <t>산업안전 보건 관리비</t>
  </si>
  <si>
    <t>C14</t>
  </si>
  <si>
    <t>노인 장기 요양보험료</t>
  </si>
  <si>
    <t>C13</t>
  </si>
  <si>
    <t>연  금  보   험   료</t>
  </si>
  <si>
    <t>C12</t>
  </si>
  <si>
    <t>건  강  보   험   료</t>
  </si>
  <si>
    <t>C11</t>
  </si>
  <si>
    <t>고  용  보   험   료</t>
  </si>
  <si>
    <t>C10</t>
  </si>
  <si>
    <t>산  재  보   험   료</t>
  </si>
  <si>
    <t>C4</t>
  </si>
  <si>
    <t>기    계    경    비</t>
  </si>
  <si>
    <t>경  비</t>
  </si>
  <si>
    <t>B</t>
  </si>
  <si>
    <t>B2</t>
  </si>
  <si>
    <t>간   접   노  무  비</t>
  </si>
  <si>
    <t>B1</t>
  </si>
  <si>
    <t>직   접   노  무  비</t>
  </si>
  <si>
    <t>노무비</t>
  </si>
  <si>
    <t>A</t>
  </si>
  <si>
    <t>A1</t>
  </si>
  <si>
    <t>직   접   재  료  비</t>
  </si>
  <si>
    <t>재료비</t>
  </si>
  <si>
    <t>순  공  사  원  가</t>
  </si>
  <si>
    <t>비    고</t>
  </si>
  <si>
    <t>금      액</t>
  </si>
  <si>
    <t>구    성   비</t>
  </si>
  <si>
    <t xml:space="preserve">                     구  분
  비   목</t>
  </si>
  <si>
    <t>공사명 : 전남고 2026학년도 AI 융합형 교육실 구축</t>
  </si>
  <si>
    <t>공 사 원 가 계 산 서</t>
  </si>
  <si>
    <t>합  계</t>
  </si>
  <si>
    <t>식</t>
  </si>
  <si>
    <t>11. 골재대</t>
  </si>
  <si>
    <t>10. 작업부신믈</t>
  </si>
  <si>
    <t>9. 간판공사</t>
  </si>
  <si>
    <t>8. 가구공사</t>
  </si>
  <si>
    <t>7. 장비실</t>
  </si>
  <si>
    <t>6. 기술실</t>
  </si>
  <si>
    <t>5. 복도</t>
  </si>
  <si>
    <t>4. 칸막이공사</t>
  </si>
  <si>
    <t>3. 철거공사</t>
  </si>
  <si>
    <t>2. 창호공사</t>
  </si>
  <si>
    <t>1. 가설공사</t>
  </si>
  <si>
    <t>1. 건축공사</t>
  </si>
  <si>
    <t>4. 작업부산물</t>
  </si>
  <si>
    <t>3. 폐기물처리비</t>
  </si>
  <si>
    <t>2. 기계설비공사</t>
  </si>
  <si>
    <t>구분</t>
  </si>
  <si>
    <t>조달코드</t>
  </si>
  <si>
    <t>품목구분</t>
  </si>
  <si>
    <t>간접재료비</t>
  </si>
  <si>
    <t>사용자항목19</t>
  </si>
  <si>
    <t>사용자항목18</t>
  </si>
  <si>
    <t>사용자항목17</t>
  </si>
  <si>
    <t>사용자항목16</t>
  </si>
  <si>
    <t>사용자항목15</t>
  </si>
  <si>
    <t>사용자항목14</t>
  </si>
  <si>
    <t>사용자항목13</t>
  </si>
  <si>
    <t>사용자항목12</t>
  </si>
  <si>
    <t>사용자항목11</t>
  </si>
  <si>
    <t>해체계획비및검토비</t>
  </si>
  <si>
    <t>작업부산물</t>
  </si>
  <si>
    <t>관급자재대2</t>
  </si>
  <si>
    <t>사용자항목7</t>
  </si>
  <si>
    <t>사용자항목6</t>
  </si>
  <si>
    <t>사용자항목5</t>
  </si>
  <si>
    <t>공기중석면농도측정비</t>
  </si>
  <si>
    <t>수도광열비</t>
  </si>
  <si>
    <t>품질시험비</t>
  </si>
  <si>
    <t>관급자관급</t>
  </si>
  <si>
    <t>관급자재대</t>
  </si>
  <si>
    <t>사급자재대</t>
  </si>
  <si>
    <t>잡비제외분</t>
  </si>
  <si>
    <t>가설비</t>
  </si>
  <si>
    <t>폐기물처리비</t>
  </si>
  <si>
    <t>장비비</t>
  </si>
  <si>
    <t>외주비</t>
  </si>
  <si>
    <t>관급</t>
  </si>
  <si>
    <t>운반비</t>
  </si>
  <si>
    <t>기계경비</t>
  </si>
  <si>
    <t>합계구분</t>
  </si>
  <si>
    <t>적용구분</t>
  </si>
  <si>
    <t>손료구분</t>
  </si>
  <si>
    <t>손료요율</t>
  </si>
  <si>
    <t>금    액</t>
  </si>
  <si>
    <t>단  가</t>
  </si>
  <si>
    <t>비고</t>
  </si>
  <si>
    <t>합      계</t>
  </si>
  <si>
    <t>경      비</t>
  </si>
  <si>
    <t>노  무  비</t>
  </si>
  <si>
    <t>재  료  비</t>
  </si>
  <si>
    <t>수량</t>
  </si>
  <si>
    <t>단위</t>
  </si>
  <si>
    <t>품      명</t>
  </si>
  <si>
    <t>집      계      표</t>
  </si>
  <si>
    <t>TON</t>
  </si>
  <si>
    <t>16톤 암롤트럭, 30km</t>
  </si>
  <si>
    <t>혼합건설폐기물 운반비</t>
  </si>
  <si>
    <t>15톤 덤프트럭, 30km</t>
  </si>
  <si>
    <t>건설폐재류 운반비</t>
  </si>
  <si>
    <t>그 밖의 건설폐기물에 가연성 5% 이하 혼합(폐보드,폐판넬)</t>
  </si>
  <si>
    <t>혼합건설폐기물(가연성)기타+가연성</t>
  </si>
  <si>
    <t>가연성이 제거된 재활용이 가능한 혼합물(폐벽돌,폐블럭,폐기와)</t>
  </si>
  <si>
    <t>건설폐재류</t>
  </si>
  <si>
    <t>1.기계설비공사</t>
  </si>
  <si>
    <t>포</t>
  </si>
  <si>
    <t>시멘트</t>
  </si>
  <si>
    <t>㎥</t>
  </si>
  <si>
    <t>모래</t>
  </si>
  <si>
    <t>1. 건축공사 &gt; 11. 골재대</t>
  </si>
  <si>
    <t>kg</t>
  </si>
  <si>
    <t>철강설, 고철, 작업설부산물</t>
  </si>
  <si>
    <t>철강설</t>
  </si>
  <si>
    <t>1. 건축공사 &gt; 10. 작업부신믈</t>
  </si>
  <si>
    <t>EA</t>
  </si>
  <si>
    <t>1600*220</t>
  </si>
  <si>
    <t>고무스카시공사</t>
  </si>
  <si>
    <t>1. 건축공사 &gt; 9. 간판공사</t>
  </si>
  <si>
    <t>2400*550*2550</t>
  </si>
  <si>
    <t>청소함/분전반수납장</t>
  </si>
  <si>
    <t>2350*550*1000</t>
  </si>
  <si>
    <t>하부장</t>
  </si>
  <si>
    <t>2400*600*1000</t>
  </si>
  <si>
    <t>낮은수납장</t>
  </si>
  <si>
    <t>7630*600*1000</t>
  </si>
  <si>
    <t>씽크대/낮은수납장</t>
  </si>
  <si>
    <t>6400*600*1000</t>
  </si>
  <si>
    <t>낮은수납장2</t>
  </si>
  <si>
    <t>3600*600*1000</t>
  </si>
  <si>
    <t>낮은수납장1</t>
  </si>
  <si>
    <t>1. 건축공사 &gt; 8. 가구공사</t>
  </si>
  <si>
    <t>일위 46호</t>
  </si>
  <si>
    <t>M2</t>
  </si>
  <si>
    <t>내부 2회, G.B.면 줄퍼티, 친환경</t>
  </si>
  <si>
    <t>바탕만들기+수성페인트 롤러칠(진품)</t>
  </si>
  <si>
    <t>일위 55호</t>
  </si>
  <si>
    <t>붓칠 2회, G.B.면(줄퍼티)</t>
  </si>
  <si>
    <t>바탕만들기+걸레받이용 페인트칠</t>
  </si>
  <si>
    <t>일위 45호</t>
  </si>
  <si>
    <t>내부 2회, con'c·mortar면, 친환경</t>
  </si>
  <si>
    <t>KDJ</t>
  </si>
  <si>
    <t>일위 35호</t>
  </si>
  <si>
    <t>벽,9.5mm2겹</t>
  </si>
  <si>
    <t>석고판 설치(나사고정) - 바탕용</t>
  </si>
  <si>
    <t>일위 29호</t>
  </si>
  <si>
    <t>30*30, @450*600</t>
  </si>
  <si>
    <t>벽체틀 설치</t>
  </si>
  <si>
    <t>일위 54호</t>
  </si>
  <si>
    <t>M</t>
  </si>
  <si>
    <t>W형, 15*15*15*15*1.0mm</t>
  </si>
  <si>
    <t>AL몰딩 설치</t>
  </si>
  <si>
    <t>일위 53호</t>
  </si>
  <si>
    <t>9mm</t>
  </si>
  <si>
    <t>불연천장재 설치</t>
  </si>
  <si>
    <t>일위 37호</t>
  </si>
  <si>
    <t>M-BAR, H:1m미만. 인써트 유</t>
  </si>
  <si>
    <t>경량철골천정틀</t>
  </si>
  <si>
    <t>일위 34호</t>
  </si>
  <si>
    <t>내벽, 11mm, 3.6m 이하</t>
  </si>
  <si>
    <t>모르타르 바름</t>
  </si>
  <si>
    <t>일위 33호</t>
  </si>
  <si>
    <t>비닐타일, 3*450*450mm, 데코타일</t>
  </si>
  <si>
    <t>비닐타일 깔기</t>
  </si>
  <si>
    <t>일위 32호</t>
  </si>
  <si>
    <t>바닥, 24mm</t>
  </si>
  <si>
    <t>1. 건축공사 &gt; 7. 장비실</t>
  </si>
  <si>
    <t>일위 52호</t>
  </si>
  <si>
    <t>액자레일 설치</t>
  </si>
  <si>
    <t>일위 51호</t>
  </si>
  <si>
    <t>개소</t>
  </si>
  <si>
    <t>AL 백색, 600*600mm</t>
  </si>
  <si>
    <t>천장점검구 설치</t>
  </si>
  <si>
    <t>일위 50호</t>
  </si>
  <si>
    <t>100*150,갈바륨강판1.2t 도장포함</t>
  </si>
  <si>
    <t xml:space="preserve">등기구박스 </t>
  </si>
  <si>
    <t>일위 49호</t>
  </si>
  <si>
    <t>미송,30*30*2줄</t>
  </si>
  <si>
    <t>등기구박스 보강</t>
  </si>
  <si>
    <t>일위 48호</t>
  </si>
  <si>
    <t>220*220,방염필름</t>
  </si>
  <si>
    <t>콘센트박스 마감</t>
  </si>
  <si>
    <t>일위 47호</t>
  </si>
  <si>
    <t>내천장 2회, G.B.면 줄퍼티, 친환경</t>
  </si>
  <si>
    <t>바탕만들기+수성페인트 롤러칠</t>
  </si>
  <si>
    <t>일위 44호</t>
  </si>
  <si>
    <t>3.6*1.0*0.55</t>
  </si>
  <si>
    <t>기술실 선반제작설치</t>
  </si>
  <si>
    <t>일위 31호</t>
  </si>
  <si>
    <t>걸레받이,BM120</t>
  </si>
  <si>
    <t>마이너스몰딩설치</t>
  </si>
  <si>
    <t>일위 43호</t>
  </si>
  <si>
    <t>MDF,9MM+방염필름</t>
  </si>
  <si>
    <t>벽,MDF,9MM+방염필름 마감</t>
  </si>
  <si>
    <t>일위 42호</t>
  </si>
  <si>
    <t>1.2t,유성페인트 포함</t>
  </si>
  <si>
    <t>갈바륨강판 타공판 설치</t>
  </si>
  <si>
    <t>일위 41호</t>
  </si>
  <si>
    <t>방염 18mm</t>
  </si>
  <si>
    <t>템바보드 설치</t>
  </si>
  <si>
    <t>일위 40호</t>
  </si>
  <si>
    <t>MDF30*80@110mm+방염필름</t>
  </si>
  <si>
    <t>MDF루버 설치</t>
  </si>
  <si>
    <t>일위 39호</t>
  </si>
  <si>
    <t>12.0MM 보통합판</t>
  </si>
  <si>
    <t>벽, 합판붙임</t>
  </si>
  <si>
    <t>일위 38호</t>
  </si>
  <si>
    <t>천정,M120</t>
  </si>
  <si>
    <t>일위 36호</t>
  </si>
  <si>
    <t>천장,9.5mm2겹</t>
  </si>
  <si>
    <t>1. 건축공사 &gt; 6. 기술실</t>
  </si>
  <si>
    <t>0.42*1.22,방염메탈계</t>
  </si>
  <si>
    <t>인테리어필름</t>
  </si>
  <si>
    <t>일위 30호</t>
  </si>
  <si>
    <t>MDF,9MM</t>
  </si>
  <si>
    <t>벽, MDF합판붙임</t>
  </si>
  <si>
    <t>1. 건축공사 &gt; 5. 복도</t>
  </si>
  <si>
    <t>일위 28호</t>
  </si>
  <si>
    <t>일반12.5t 2겹양면+GW100t</t>
  </si>
  <si>
    <t>DRY WALL(C-100)THK125</t>
  </si>
  <si>
    <t>1. 건축공사 &gt; 4. 칸막이공사</t>
  </si>
  <si>
    <t>(매립지반입대상 폐기물 포함)</t>
  </si>
  <si>
    <t>혼합건설폐기물 상차비</t>
  </si>
  <si>
    <t>건설폐재류 상차비</t>
  </si>
  <si>
    <t>일위 27호</t>
  </si>
  <si>
    <t>샌드위치판넬 강판/단열재분리</t>
  </si>
  <si>
    <t>일위 26호</t>
  </si>
  <si>
    <t>샌드위치판넬 철거</t>
  </si>
  <si>
    <t>일위 25호</t>
  </si>
  <si>
    <t>칸막이벽 절단</t>
  </si>
  <si>
    <t>일위 24호</t>
  </si>
  <si>
    <t>흡음텍스 해체</t>
  </si>
  <si>
    <t>일위 23호</t>
  </si>
  <si>
    <t>경량천장철골틀 해체</t>
  </si>
  <si>
    <t>일위 22호</t>
  </si>
  <si>
    <t>화강석 철거</t>
  </si>
  <si>
    <t>일위 21호</t>
  </si>
  <si>
    <t>M3</t>
  </si>
  <si>
    <t>H=3.6m 이하</t>
  </si>
  <si>
    <t>조적벽 해체</t>
  </si>
  <si>
    <t>일위 20호</t>
  </si>
  <si>
    <t>W6∼12mm</t>
  </si>
  <si>
    <t>벽돌벽 절단</t>
  </si>
  <si>
    <t>일위 19호</t>
  </si>
  <si>
    <t>소형브레이커(전기식), 철근, 2.3m3/일당</t>
  </si>
  <si>
    <t>콘크리트구조물 헐기(소형장비)</t>
  </si>
  <si>
    <t>시장시공가격</t>
  </si>
  <si>
    <t>일위 18호</t>
  </si>
  <si>
    <t>m</t>
  </si>
  <si>
    <t>t=300mm이하</t>
  </si>
  <si>
    <t>콘크리트 절단(Wheel Saw)</t>
  </si>
  <si>
    <t>일위 17호</t>
  </si>
  <si>
    <t>프라스틱 창 철거</t>
  </si>
  <si>
    <t>일위 16호</t>
  </si>
  <si>
    <t>목재창호철거</t>
  </si>
  <si>
    <t>1. 건축공사 &gt; 3. 철거공사</t>
  </si>
  <si>
    <t>일위 15호</t>
  </si>
  <si>
    <t>창호주위 모르타르 충전</t>
  </si>
  <si>
    <t>일위 14호</t>
  </si>
  <si>
    <t>삼각, 10mm, 창호주위</t>
  </si>
  <si>
    <t>수밀코킹(실리콘)</t>
  </si>
  <si>
    <t>일위 13호</t>
  </si>
  <si>
    <t>바닥, W30×H20×1.5t</t>
  </si>
  <si>
    <t>스텐레스재료분리대</t>
  </si>
  <si>
    <t>일위 12호</t>
  </si>
  <si>
    <t>터치패드번호+카드+비상키</t>
  </si>
  <si>
    <t>디지털도어록 설치</t>
  </si>
  <si>
    <t>도어부자재, 스텐손잡이</t>
  </si>
  <si>
    <t>강화유리문틀</t>
  </si>
  <si>
    <t>일위 11호</t>
  </si>
  <si>
    <t>105kg</t>
  </si>
  <si>
    <t>플로어힌지(강화유리문) 설치</t>
  </si>
  <si>
    <t>일위 10호</t>
  </si>
  <si>
    <t>개</t>
  </si>
  <si>
    <t>12* 850*2100mm, 투명,손보호용,헤어라인/밀러</t>
  </si>
  <si>
    <t>세이프강화도어(락2000형) - 내부용</t>
  </si>
  <si>
    <t>도어힌지, 황동경첩, 3.0T×102×102mm</t>
  </si>
  <si>
    <t>도어힌지</t>
  </si>
  <si>
    <t>일위  9호</t>
  </si>
  <si>
    <t>원통형(목재문)</t>
  </si>
  <si>
    <t>도아록설치</t>
  </si>
  <si>
    <t>일위  8호</t>
  </si>
  <si>
    <t>0.9*2.1</t>
  </si>
  <si>
    <t>WD01</t>
  </si>
  <si>
    <t>일위  7호</t>
  </si>
  <si>
    <t>1.7*2.1</t>
  </si>
  <si>
    <t>SSD01</t>
  </si>
  <si>
    <t>1. 건축공사 &gt; 2. 창호공사</t>
  </si>
  <si>
    <t>일위  6호</t>
  </si>
  <si>
    <t>인</t>
  </si>
  <si>
    <t>보통인부</t>
  </si>
  <si>
    <t>건축물현장정리</t>
  </si>
  <si>
    <t>일위  5호</t>
  </si>
  <si>
    <t>보통인부,집기이설및재설치</t>
  </si>
  <si>
    <t>일위  4호</t>
  </si>
  <si>
    <t>틀+합판4.8mm</t>
  </si>
  <si>
    <t>공사용가설벽 설치 및 해체(내부통행안전시설)</t>
  </si>
  <si>
    <t>일위  3호</t>
  </si>
  <si>
    <t>600*900 이하, 철판+25각파이프 프레임 or 디지털실사</t>
  </si>
  <si>
    <t>건축허가표시판(공사현황)</t>
  </si>
  <si>
    <t>일위  2호</t>
  </si>
  <si>
    <t>시안제공</t>
  </si>
  <si>
    <t>청렴현수막 설치</t>
  </si>
  <si>
    <t>일위  1호</t>
  </si>
  <si>
    <t>대</t>
  </si>
  <si>
    <t>높이 2m, 3개월</t>
  </si>
  <si>
    <t>강관 조립말비계(이동식)설치 및 해체</t>
  </si>
  <si>
    <t>1. 건축공사 &gt; 1. 가설공사</t>
  </si>
  <si>
    <t>금   액</t>
  </si>
  <si>
    <t>수  량</t>
  </si>
  <si>
    <t>규      격</t>
  </si>
  <si>
    <t>내       역       서</t>
  </si>
  <si>
    <t>[ 합           계 ]</t>
  </si>
  <si>
    <t>0101</t>
  </si>
  <si>
    <t>010105</t>
  </si>
  <si>
    <t>1-5.철거 공사</t>
  </si>
  <si>
    <t>010104</t>
  </si>
  <si>
    <t>1-4.냉난방기 리모컨 이전 설치공사</t>
  </si>
  <si>
    <t>010103</t>
  </si>
  <si>
    <t>1-3.오수, 배수배관 설치공사</t>
  </si>
  <si>
    <t>010102</t>
  </si>
  <si>
    <t>1-2.급수, 급탕배관 설치공사</t>
  </si>
  <si>
    <t>010101</t>
  </si>
  <si>
    <t>1-1.장비 및 위생기구 설치공사</t>
  </si>
  <si>
    <t>01</t>
  </si>
  <si>
    <t>전남고2026학년도AI융합형교육실구축(기계)</t>
  </si>
  <si>
    <t>금  액</t>
  </si>
  <si>
    <t>원가계산서 연결금액</t>
  </si>
  <si>
    <t>공종소계</t>
  </si>
  <si>
    <t>공종레벨</t>
  </si>
  <si>
    <t>공종구분</t>
  </si>
  <si>
    <t>상위공종</t>
  </si>
  <si>
    <t>변수</t>
  </si>
  <si>
    <t>공종코드</t>
  </si>
  <si>
    <t>비  고</t>
  </si>
  <si>
    <t>[ 전남고2026학년도AI융합형교육실구축(기계) ]</t>
  </si>
  <si>
    <t>공 종 별 집 계 표</t>
  </si>
  <si>
    <t>TOTAL</t>
  </si>
  <si>
    <t>01010558B8F5C7B30871B476882CAA3F1762</t>
  </si>
  <si>
    <t>T</t>
  </si>
  <si>
    <t>58B8F5C7B30871B476882CAA3F1762</t>
  </si>
  <si>
    <t>호표 15</t>
  </si>
  <si>
    <t>주방수전 철거</t>
  </si>
  <si>
    <t>01010558B845DDCB0845CFFFB831B37B37A6</t>
  </si>
  <si>
    <t>58B845DDCB0845CFFFB831B37B37A6</t>
  </si>
  <si>
    <t>호표 14</t>
  </si>
  <si>
    <t>ND200이하</t>
  </si>
  <si>
    <t>디퓨져 철거후 재설치</t>
  </si>
  <si>
    <t>01010558B845DDCB0845CFFFB831B37B37A3</t>
  </si>
  <si>
    <t>58B845DDCB0845CFFFB831B37B37A3</t>
  </si>
  <si>
    <t>호표 13</t>
  </si>
  <si>
    <t>디퓨져 철거</t>
  </si>
  <si>
    <t>01010459EAB57E7B085B0B6F58AB2B9737201CAC2AFC</t>
  </si>
  <si>
    <t>59EAB57E7B085B0B6F58AB2B9737201CAC2AFC</t>
  </si>
  <si>
    <t>잡자재비 및 공구손료</t>
  </si>
  <si>
    <t>01010459EAB57E7B085B0B6F58AB2B9737201CAC2B8E</t>
  </si>
  <si>
    <t>59EAB57E7B085B0B6F58AB2B9737201CAC2B8E</t>
  </si>
  <si>
    <t>전선 및 전선관</t>
  </si>
  <si>
    <t>룸콘트롤러설치용전선</t>
  </si>
  <si>
    <t>01010459EAB57E7B085B0B6F58AB2B9737201CAC2B82</t>
  </si>
  <si>
    <t>59EAB57E7B085B0B6F58AB2B9737201CAC2B82</t>
  </si>
  <si>
    <t>철거 및 이전설치</t>
  </si>
  <si>
    <t>유선리모컨 이전설치</t>
  </si>
  <si>
    <t>01010358B8D5F814081145A788ADD127C751</t>
  </si>
  <si>
    <t>58B8D5F814081145A788ADD127C751</t>
  </si>
  <si>
    <t>호표 12</t>
  </si>
  <si>
    <t>D50, 콘크리트 150mm, 벽</t>
  </si>
  <si>
    <t>구멍뚫기(코어드릴)</t>
  </si>
  <si>
    <t>01010358B8D5F814081145A788ADE390679B</t>
  </si>
  <si>
    <t>58B8D5F814081145A788ADE390679B</t>
  </si>
  <si>
    <t>호표 11</t>
  </si>
  <si>
    <t>D50, 콘크리트 150mm</t>
  </si>
  <si>
    <t>0101035F2AE588CF085E7DA3786AA61F2787991D5BBA</t>
  </si>
  <si>
    <t>5F2AE588CF085E7DA3786AA61F2787991D5BBA</t>
  </si>
  <si>
    <t>일반용경질폴리염화비닐이음관, ∮50mm, 45˚단곡관, DL</t>
  </si>
  <si>
    <t>일반용경질폴리염화비닐이음관</t>
  </si>
  <si>
    <t>0101035F2AE588CF085E7DA3786AA61FA7D4110C07CA</t>
  </si>
  <si>
    <t>5F2AE588CF085E7DA3786AA61FA7D4110C07CA</t>
  </si>
  <si>
    <t>일반용경질폴리염화비닐이음관, ∮50mm, PVC소켓, DTS</t>
  </si>
  <si>
    <t>0101035F2AE588CF085E7DA3786AA61FA7D4110C047B</t>
  </si>
  <si>
    <t>5F2AE588CF085E7DA3786AA61FA7D4110C047B</t>
  </si>
  <si>
    <t>일반용경질폴리염화비닐이음관, ∮50*∮50mm, PVC티, DTS</t>
  </si>
  <si>
    <t>0101035F2AE588CF085E7DA3786AA61FA7D4110FDC74</t>
  </si>
  <si>
    <t>5F2AE588CF085E7DA3786AA61FA7D4110FDC74</t>
  </si>
  <si>
    <t>일반용경질폴리염화비닐이음관, ∮50mm, 90˚단곡관(DTS)</t>
  </si>
  <si>
    <t>01010358F285FA0B08C6AAA7685AF9051795</t>
  </si>
  <si>
    <t>58F285FA0B08C6AAA7685AF9051795</t>
  </si>
  <si>
    <t>호표 10</t>
  </si>
  <si>
    <t>일반용경질폴리염화비닐관, ∮50mm, VG1</t>
  </si>
  <si>
    <t>일반용경질폴리염화비닐관</t>
  </si>
  <si>
    <t>01010258B835F4C60852BE29683C142CB7E7</t>
  </si>
  <si>
    <t>58B835F4C60852BE29683C142CB7E7</t>
  </si>
  <si>
    <t>호표 9</t>
  </si>
  <si>
    <t>25t*D15</t>
  </si>
  <si>
    <t>관보온(고무발포, 매직테프)</t>
  </si>
  <si>
    <t>01010258B835F79F08B51A1898CA3D0BF771</t>
  </si>
  <si>
    <t>58B835F79F08B51A1898CA3D0BF771</t>
  </si>
  <si>
    <t>호표 8</t>
  </si>
  <si>
    <t>5t*D15</t>
  </si>
  <si>
    <t>관보온(아티론)-매립</t>
  </si>
  <si>
    <t>01010258B8D5F8140814190608AE2B19E793</t>
  </si>
  <si>
    <t>58B8D5F8140814190608AE2B19E793</t>
  </si>
  <si>
    <t>호표 7</t>
  </si>
  <si>
    <t>D25, 콘크리트 150mm, 벽</t>
  </si>
  <si>
    <t>01010258B8F5C2CD08DC91AB08F13E49F7D5</t>
  </si>
  <si>
    <t>58B8F5C2CD08DC91AB08F13E49F7D5</t>
  </si>
  <si>
    <t>호표 6</t>
  </si>
  <si>
    <t>D15</t>
  </si>
  <si>
    <t>절연행가(달대볼트)</t>
  </si>
  <si>
    <t>01010258B815AB900809C37BE864D60B3758</t>
  </si>
  <si>
    <t>58B815AB900809C37BE864D60B3758</t>
  </si>
  <si>
    <t>호표 5</t>
  </si>
  <si>
    <t>냉온수, 나사, D15</t>
  </si>
  <si>
    <t>감압밸브</t>
  </si>
  <si>
    <t>01010258B815A9E7082CA23EB8D0B9FAF7E5</t>
  </si>
  <si>
    <t>58B815A9E7082CA23EB8D0B9FAF7E5</t>
  </si>
  <si>
    <t>호표 4</t>
  </si>
  <si>
    <t>D20</t>
  </si>
  <si>
    <t>볼밸브설치(스텐, 10kg)</t>
  </si>
  <si>
    <t>0101025F2AE588CF085E7DA268FB5D5E175D26A70C03</t>
  </si>
  <si>
    <t>5F2AE588CF085E7DA268FB5D5E175D26A70C03</t>
  </si>
  <si>
    <t>∮15mm, 수전엘보, 프레스</t>
  </si>
  <si>
    <t>스테인리스강제관이음(프레스식)</t>
  </si>
  <si>
    <t>0101025F2AE588CF085E7DA268FB5D5E370574270157</t>
  </si>
  <si>
    <t>5F2AE588CF085E7DA268FB5D5E370574270157</t>
  </si>
  <si>
    <t>∮15mm, 숫어댑터소켓, 프레스</t>
  </si>
  <si>
    <t>0101025F2AE588CF085E7DA268FB5D5E3705742706D2</t>
  </si>
  <si>
    <t>5F2AE588CF085E7DA268FB5D5E3705742706D2</t>
  </si>
  <si>
    <t>∮15mm, 암어댑터소켓, 프레스</t>
  </si>
  <si>
    <t>0101025F2AE588CF085E7DA268FB5D5E3705742707FF</t>
  </si>
  <si>
    <t>5F2AE588CF085E7DA268FB5D5E3705742707FF</t>
  </si>
  <si>
    <t>∮15mm, 소켓, 프레스</t>
  </si>
  <si>
    <t>0101025F2AE588CF085E7DA268FB5D5E37057424B295</t>
  </si>
  <si>
    <t>5F2AE588CF085E7DA268FB5D5E37057424B295</t>
  </si>
  <si>
    <t>∮15, K-유니언, 프레스</t>
  </si>
  <si>
    <t>0101025F2AE588CF085E7DA268FB5D5E37057421F4E9</t>
  </si>
  <si>
    <t>5F2AE588CF085E7DA268FB5D5E37057421F4E9</t>
  </si>
  <si>
    <t>∮15*15mm, 티, 프레스</t>
  </si>
  <si>
    <t>0101025F2AE588CF085E7DA268FB5D5E370577FF1DFB</t>
  </si>
  <si>
    <t>5F2AE588CF085E7DA268FB5D5E370577FF1DFB</t>
  </si>
  <si>
    <t>∮15mm, 엘보90°, 프레스</t>
  </si>
  <si>
    <t>0101025F2AE588CF085E7DA268FB5D5E37057424B446</t>
  </si>
  <si>
    <t>5F2AE588CF085E7DA268FB5D5E37057424B446</t>
  </si>
  <si>
    <t>일반배관용스테인리스강관관이음쇠, ∮15mm, 소켓, 나사식</t>
  </si>
  <si>
    <t>스테인리스강제관이음</t>
  </si>
  <si>
    <t>0101025F2AE588CF085E7DA268FB5D5E37057424B3BB</t>
  </si>
  <si>
    <t>5F2AE588CF085E7DA268FB5D5E37057424B3BB</t>
  </si>
  <si>
    <t>∮15mm, 니플, 나사식</t>
  </si>
  <si>
    <t>01010258F285FA0B08C6AAA7685AF905078E</t>
  </si>
  <si>
    <t>58F285FA0B08C6AAA7685AF905078E</t>
  </si>
  <si>
    <t>호표 3</t>
  </si>
  <si>
    <t>일반배관용스테인리스강관(K-TYPE)</t>
  </si>
  <si>
    <t>01010158F285FA0B08C6AAA7685AF9053742</t>
  </si>
  <si>
    <t>58F285FA0B08C6AAA7685AF9053742</t>
  </si>
  <si>
    <t>호표 2</t>
  </si>
  <si>
    <t>주방수전, 싱글레버, 1등급</t>
  </si>
  <si>
    <t>주방수전(대붙이)</t>
  </si>
  <si>
    <t>01010158F285FA0B08C6AAA7685AF9056716</t>
  </si>
  <si>
    <t>58F285FA0B08C6AAA7685AF9056716</t>
  </si>
  <si>
    <t>호표 1</t>
  </si>
  <si>
    <t>전기온수기, 15L, 스테인리스</t>
  </si>
  <si>
    <t>전기온수기</t>
  </si>
  <si>
    <t>고유번호</t>
  </si>
  <si>
    <t>공종+자재</t>
  </si>
  <si>
    <t>자재구분</t>
  </si>
  <si>
    <t>JUK20</t>
  </si>
  <si>
    <t>JUK19</t>
  </si>
  <si>
    <t>JUK18</t>
  </si>
  <si>
    <t>JUK17</t>
  </si>
  <si>
    <t>JUK16</t>
  </si>
  <si>
    <t>JUK15</t>
  </si>
  <si>
    <t>JUK14</t>
  </si>
  <si>
    <t>JUK13</t>
  </si>
  <si>
    <t>JUK12</t>
  </si>
  <si>
    <t>JUK11</t>
  </si>
  <si>
    <t>JUK10</t>
  </si>
  <si>
    <t>JUK9</t>
  </si>
  <si>
    <t>JUK8</t>
  </si>
  <si>
    <t>JUK7</t>
  </si>
  <si>
    <t>JUK6</t>
  </si>
  <si>
    <t>JUK5</t>
  </si>
  <si>
    <t>JUK4</t>
  </si>
  <si>
    <t>JUK3</t>
  </si>
  <si>
    <t>JUK2</t>
  </si>
  <si>
    <t>JUK1</t>
  </si>
  <si>
    <t>적용율</t>
  </si>
  <si>
    <t>손료저장</t>
  </si>
  <si>
    <t>손료적용</t>
  </si>
  <si>
    <t>자재</t>
  </si>
  <si>
    <t>단산</t>
  </si>
  <si>
    <t>일위</t>
  </si>
  <si>
    <t>설정</t>
  </si>
  <si>
    <t>품목코드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</si>
</sst>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rgb="FF000000"/>
      <name val="굴림체"/>
      <family val="3"/>
      <charset val="129"/>
    </font>
    <font>
      <sz val="8"/>
      <color theme="1"/>
      <name val="굴림체"/>
      <family val="3"/>
      <charset val="129"/>
    </font>
    <font>
      <sz val="11"/>
      <color theme="1"/>
      <name val="굴림체"/>
      <family val="3"/>
      <charset val="129"/>
    </font>
    <font>
      <b/>
      <u/>
      <sz val="20"/>
      <color rgb="FF000000"/>
      <name val="굴림체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2" fillId="0" borderId="1" xfId="0" quotePrefix="1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shrinkToFit="1"/>
    </xf>
    <xf numFmtId="0" fontId="0" fillId="0" borderId="0" xfId="0" quotePrefix="1">
      <alignment vertical="center"/>
    </xf>
    <xf numFmtId="0" fontId="2" fillId="0" borderId="1" xfId="0" applyFont="1" applyBorder="1" applyAlignment="1">
      <alignment horizontal="left" vertical="center" wrapText="1" shrinkToFit="1"/>
    </xf>
    <xf numFmtId="0" fontId="2" fillId="0" borderId="2" xfId="0" quotePrefix="1" applyFont="1" applyBorder="1" applyAlignment="1">
      <alignment horizontal="left" vertical="center" wrapText="1" shrinkToFit="1"/>
    </xf>
    <xf numFmtId="0" fontId="2" fillId="0" borderId="2" xfId="0" applyFont="1" applyBorder="1" applyAlignment="1">
      <alignment horizontal="right" vertical="center" shrinkToFit="1"/>
    </xf>
    <xf numFmtId="0" fontId="2" fillId="0" borderId="2" xfId="0" applyFont="1" applyBorder="1" applyAlignment="1">
      <alignment horizontal="left" vertical="center" wrapText="1" shrinkToFit="1"/>
    </xf>
    <xf numFmtId="0" fontId="2" fillId="0" borderId="3" xfId="0" quotePrefix="1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right" vertical="center" shrinkToFit="1"/>
    </xf>
    <xf numFmtId="0" fontId="2" fillId="0" borderId="3" xfId="0" applyFont="1" applyBorder="1" applyAlignment="1">
      <alignment horizontal="left" vertical="center" wrapText="1" shrinkToFit="1"/>
    </xf>
    <xf numFmtId="0" fontId="2" fillId="0" borderId="4" xfId="0" quotePrefix="1" applyFont="1" applyBorder="1" applyAlignment="1">
      <alignment horizontal="left" vertical="center" wrapText="1" shrinkToFit="1"/>
    </xf>
    <xf numFmtId="0" fontId="2" fillId="0" borderId="4" xfId="0" applyFont="1" applyBorder="1" applyAlignment="1">
      <alignment horizontal="right" vertical="center" shrinkToFit="1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right"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quotePrefix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1" xfId="0" quotePrefix="1" applyFont="1" applyBorder="1" applyAlignment="1">
      <alignment horizontal="center" vertical="center" wrapText="1" shrinkToFit="1"/>
    </xf>
    <xf numFmtId="0" fontId="3" fillId="0" borderId="1" xfId="0" quotePrefix="1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6" fontId="6" fillId="0" borderId="1" xfId="0" applyNumberFormat="1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/>
    </xf>
    <xf numFmtId="0" fontId="7" fillId="0" borderId="1" xfId="0" quotePrefix="1" applyFont="1" applyBorder="1" applyAlignment="1">
      <alignment horizontal="center" vertical="center" wrapText="1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0" fillId="0" borderId="13" xfId="0" quotePrefix="1" applyFont="1" applyBorder="1" applyAlignment="1">
      <alignment vertical="center"/>
    </xf>
    <xf numFmtId="0" fontId="8" fillId="0" borderId="0" xfId="0" applyFont="1" applyAlignment="1">
      <alignment horizontal="centerContinuous" vertical="center"/>
    </xf>
    <xf numFmtId="0" fontId="8" fillId="0" borderId="0" xfId="0" quotePrefix="1" applyFont="1" applyAlignment="1">
      <alignment horizontal="centerContinuous" vertical="center"/>
    </xf>
    <xf numFmtId="0" fontId="0" fillId="0" borderId="1" xfId="0" quotePrefix="1" applyFont="1" applyBorder="1" applyAlignment="1">
      <alignment vertical="center" wrapText="1"/>
    </xf>
    <xf numFmtId="0" fontId="0" fillId="0" borderId="0" xfId="0" applyAlignment="1">
      <alignment vertical="top"/>
    </xf>
    <xf numFmtId="0" fontId="0" fillId="0" borderId="0" xfId="0" quotePrefix="1" applyAlignment="1">
      <alignment vertical="top"/>
    </xf>
    <xf numFmtId="0" fontId="6" fillId="0" borderId="1" xfId="0" applyFont="1" applyBorder="1" applyAlignment="1">
      <alignment vertical="top" wrapText="1"/>
    </xf>
    <xf numFmtId="176" fontId="6" fillId="0" borderId="1" xfId="0" applyNumberFormat="1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7" fillId="0" borderId="1" xfId="0" quotePrefix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textRotation="255" wrapText="1" shrinkToFit="1"/>
    </xf>
    <xf numFmtId="0" fontId="3" fillId="0" borderId="1" xfId="0" applyFont="1" applyBorder="1" applyAlignment="1">
      <alignment horizontal="center" vertical="center" textRotation="255" wrapText="1" shrinkToFit="1"/>
    </xf>
    <xf numFmtId="0" fontId="3" fillId="0" borderId="4" xfId="0" quotePrefix="1" applyFont="1" applyBorder="1" applyAlignment="1">
      <alignment horizontal="center" vertical="center" textRotation="255" wrapText="1" shrinkToFit="1"/>
    </xf>
    <xf numFmtId="0" fontId="3" fillId="0" borderId="2" xfId="0" applyFont="1" applyBorder="1" applyAlignment="1">
      <alignment horizontal="center" vertical="center" textRotation="255" wrapText="1" shrinkToFit="1"/>
    </xf>
    <xf numFmtId="0" fontId="3" fillId="0" borderId="1" xfId="0" quotePrefix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 shrinkToFit="1"/>
    </xf>
    <xf numFmtId="0" fontId="5" fillId="0" borderId="0" xfId="0" applyFont="1" applyAlignment="1">
      <alignment horizontal="center" vertical="center"/>
    </xf>
    <xf numFmtId="0" fontId="4" fillId="0" borderId="0" xfId="0" quotePrefix="1" applyFont="1">
      <alignment vertical="center"/>
    </xf>
    <xf numFmtId="0" fontId="0" fillId="0" borderId="0" xfId="0">
      <alignment vertical="center"/>
    </xf>
    <xf numFmtId="0" fontId="3" fillId="0" borderId="10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textRotation="255" wrapText="1" shrinkToFit="1"/>
    </xf>
    <xf numFmtId="0" fontId="3" fillId="0" borderId="4" xfId="0" applyFont="1" applyBorder="1" applyAlignment="1">
      <alignment horizontal="center" vertical="center" textRotation="255" wrapText="1" shrinkToFit="1"/>
    </xf>
    <xf numFmtId="0" fontId="7" fillId="0" borderId="1" xfId="0" quotePrefix="1" applyFont="1" applyBorder="1" applyAlignment="1">
      <alignment horizontal="center" vertical="center"/>
    </xf>
    <xf numFmtId="0" fontId="7" fillId="0" borderId="1" xfId="0" quotePrefix="1" applyFont="1" applyBorder="1" applyAlignment="1">
      <alignment horizontal="center" vertical="center" wrapText="1"/>
    </xf>
    <xf numFmtId="0" fontId="0" fillId="0" borderId="0" xfId="0" quotePrefix="1">
      <alignment vertical="center"/>
    </xf>
    <xf numFmtId="0" fontId="3" fillId="0" borderId="1" xfId="0" quotePrefix="1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left" vertical="center" wrapText="1" shrinkToFit="1"/>
    </xf>
    <xf numFmtId="0" fontId="3" fillId="0" borderId="1" xfId="0" applyFont="1" applyBorder="1" applyAlignment="1">
      <alignment horizontal="left" vertical="center" shrinkToFit="1"/>
    </xf>
  </cellXfs>
  <cellStyles count="1">
    <cellStyle name="표준" xfId="0" builtinId="0"/>
  </cellStyles>
  <dxfs count="6">
    <dxf>
      <numFmt numFmtId="176" formatCode="#,###"/>
    </dxf>
    <dxf>
      <numFmt numFmtId="177" formatCode="#,##0.0#####"/>
    </dxf>
    <dxf>
      <numFmt numFmtId="176" formatCode="#,###"/>
    </dxf>
    <dxf>
      <numFmt numFmtId="177" formatCode="#,##0.0#####"/>
    </dxf>
    <dxf>
      <numFmt numFmtId="176" formatCode="#,###"/>
    </dxf>
    <dxf>
      <numFmt numFmtId="177" formatCode="#,##0.0####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4D12-E260-4B7D-A8EF-C934D9310688}">
  <sheetPr>
    <tabColor rgb="FFF19D86"/>
  </sheetPr>
  <dimension ref="A1:K35"/>
  <sheetViews>
    <sheetView tabSelected="1" view="pageBreakPreview" zoomScaleNormal="100" zoomScaleSheetLayoutView="100" workbookViewId="0">
      <selection activeCell="F27" sqref="F27"/>
    </sheetView>
  </sheetViews>
  <sheetFormatPr defaultRowHeight="16.5" x14ac:dyDescent="0.3"/>
  <cols>
    <col min="1" max="2" width="3.625" customWidth="1"/>
    <col min="3" max="3" width="15.625" style="1" customWidth="1"/>
    <col min="4" max="4" width="65.625" style="1" customWidth="1"/>
    <col min="5" max="5" width="13.625" style="2" customWidth="1"/>
    <col min="6" max="6" width="20.625" style="1" customWidth="1"/>
    <col min="7" max="11" width="9" hidden="1" customWidth="1"/>
  </cols>
  <sheetData>
    <row r="1" spans="1:8" ht="30" customHeight="1" x14ac:dyDescent="0.3">
      <c r="A1" s="52" t="s">
        <v>67</v>
      </c>
      <c r="B1" s="52"/>
      <c r="C1" s="52"/>
      <c r="D1" s="52"/>
      <c r="E1" s="52"/>
      <c r="F1" s="52"/>
    </row>
    <row r="2" spans="1:8" ht="15.95" customHeight="1" x14ac:dyDescent="0.3">
      <c r="A2" s="53" t="s">
        <v>66</v>
      </c>
      <c r="B2" s="54"/>
      <c r="C2" s="54"/>
      <c r="D2" s="54"/>
      <c r="E2" s="54"/>
      <c r="F2" s="54"/>
    </row>
    <row r="3" spans="1:8" ht="12" customHeight="1" x14ac:dyDescent="0.3">
      <c r="A3" s="55" t="s">
        <v>65</v>
      </c>
      <c r="B3" s="56"/>
      <c r="C3" s="57"/>
      <c r="D3" s="61" t="s">
        <v>64</v>
      </c>
      <c r="E3" s="61" t="s">
        <v>63</v>
      </c>
      <c r="F3" s="61" t="s">
        <v>62</v>
      </c>
    </row>
    <row r="4" spans="1:8" ht="12" customHeight="1" x14ac:dyDescent="0.3">
      <c r="A4" s="58"/>
      <c r="B4" s="59"/>
      <c r="C4" s="60"/>
      <c r="D4" s="61"/>
      <c r="E4" s="61"/>
      <c r="F4" s="61"/>
    </row>
    <row r="5" spans="1:8" ht="15.95" customHeight="1" x14ac:dyDescent="0.3">
      <c r="A5" s="46" t="s">
        <v>61</v>
      </c>
      <c r="B5" s="46" t="s">
        <v>60</v>
      </c>
      <c r="C5" s="3" t="s">
        <v>59</v>
      </c>
      <c r="D5" s="3" t="s">
        <v>0</v>
      </c>
      <c r="E5" s="4"/>
      <c r="F5" s="3" t="s">
        <v>0</v>
      </c>
      <c r="G5" s="5" t="s">
        <v>58</v>
      </c>
      <c r="H5">
        <v>0</v>
      </c>
    </row>
    <row r="6" spans="1:8" ht="15.95" customHeight="1" x14ac:dyDescent="0.3">
      <c r="A6" s="47"/>
      <c r="B6" s="47"/>
      <c r="C6" s="3" t="s">
        <v>19</v>
      </c>
      <c r="D6" s="3" t="s">
        <v>0</v>
      </c>
      <c r="E6" s="4"/>
      <c r="F6" s="3" t="s">
        <v>0</v>
      </c>
      <c r="G6" s="5" t="s">
        <v>57</v>
      </c>
      <c r="H6">
        <v>0</v>
      </c>
    </row>
    <row r="7" spans="1:8" ht="15.95" customHeight="1" x14ac:dyDescent="0.3">
      <c r="A7" s="63"/>
      <c r="B7" s="48" t="s">
        <v>56</v>
      </c>
      <c r="C7" s="13" t="s">
        <v>55</v>
      </c>
      <c r="D7" s="13" t="s">
        <v>0</v>
      </c>
      <c r="E7" s="14"/>
      <c r="F7" s="13" t="s">
        <v>0</v>
      </c>
      <c r="G7" s="5" t="s">
        <v>54</v>
      </c>
      <c r="H7">
        <v>0</v>
      </c>
    </row>
    <row r="8" spans="1:8" ht="15.95" customHeight="1" x14ac:dyDescent="0.3">
      <c r="A8" s="49"/>
      <c r="B8" s="49"/>
      <c r="C8" s="7" t="s">
        <v>53</v>
      </c>
      <c r="D8" s="9" t="str">
        <f>"직.노*"&amp;H8*100&amp;"%"</f>
        <v>직.노*17.5%</v>
      </c>
      <c r="E8" s="8"/>
      <c r="F8" s="7" t="s">
        <v>0</v>
      </c>
      <c r="G8" s="5" t="s">
        <v>52</v>
      </c>
      <c r="H8">
        <v>0.17499999999999999</v>
      </c>
    </row>
    <row r="9" spans="1:8" ht="15.95" customHeight="1" x14ac:dyDescent="0.3">
      <c r="A9" s="47"/>
      <c r="B9" s="47"/>
      <c r="C9" s="3" t="s">
        <v>19</v>
      </c>
      <c r="D9" s="3" t="s">
        <v>0</v>
      </c>
      <c r="E9" s="4"/>
      <c r="F9" s="3" t="s">
        <v>0</v>
      </c>
      <c r="G9" s="5" t="s">
        <v>51</v>
      </c>
      <c r="H9">
        <v>0</v>
      </c>
    </row>
    <row r="10" spans="1:8" ht="15.95" customHeight="1" x14ac:dyDescent="0.3">
      <c r="A10" s="63"/>
      <c r="B10" s="48" t="s">
        <v>50</v>
      </c>
      <c r="C10" s="13" t="s">
        <v>49</v>
      </c>
      <c r="D10" s="13" t="s">
        <v>0</v>
      </c>
      <c r="E10" s="14"/>
      <c r="F10" s="13" t="s">
        <v>0</v>
      </c>
      <c r="G10" s="5" t="s">
        <v>48</v>
      </c>
      <c r="H10">
        <v>0</v>
      </c>
    </row>
    <row r="11" spans="1:8" ht="15.95" customHeight="1" x14ac:dyDescent="0.3">
      <c r="A11" s="62"/>
      <c r="B11" s="62"/>
      <c r="C11" s="10" t="s">
        <v>47</v>
      </c>
      <c r="D11" s="12" t="str">
        <f>"(노)*"&amp;H11*100&amp;"%"</f>
        <v>(노)*3.56%</v>
      </c>
      <c r="E11" s="11"/>
      <c r="F11" s="10" t="s">
        <v>0</v>
      </c>
      <c r="G11" s="5" t="s">
        <v>46</v>
      </c>
      <c r="H11">
        <v>3.56E-2</v>
      </c>
    </row>
    <row r="12" spans="1:8" ht="15.95" customHeight="1" x14ac:dyDescent="0.3">
      <c r="A12" s="62"/>
      <c r="B12" s="62"/>
      <c r="C12" s="10" t="s">
        <v>45</v>
      </c>
      <c r="D12" s="12" t="str">
        <f>"(노)*"&amp;H12*100&amp;"%"</f>
        <v>(노)*1.01%</v>
      </c>
      <c r="E12" s="11"/>
      <c r="F12" s="10" t="s">
        <v>0</v>
      </c>
      <c r="G12" s="5" t="s">
        <v>44</v>
      </c>
      <c r="H12">
        <v>1.01E-2</v>
      </c>
    </row>
    <row r="13" spans="1:8" ht="15.95" customHeight="1" x14ac:dyDescent="0.3">
      <c r="A13" s="62"/>
      <c r="B13" s="62"/>
      <c r="C13" s="10" t="s">
        <v>43</v>
      </c>
      <c r="D13" s="10" t="s">
        <v>0</v>
      </c>
      <c r="E13" s="11"/>
      <c r="F13" s="10" t="s">
        <v>0</v>
      </c>
      <c r="G13" s="5" t="s">
        <v>42</v>
      </c>
      <c r="H13">
        <v>0</v>
      </c>
    </row>
    <row r="14" spans="1:8" ht="15.95" customHeight="1" x14ac:dyDescent="0.3">
      <c r="A14" s="62"/>
      <c r="B14" s="62"/>
      <c r="C14" s="10" t="s">
        <v>41</v>
      </c>
      <c r="D14" s="10" t="s">
        <v>0</v>
      </c>
      <c r="E14" s="11"/>
      <c r="F14" s="10" t="s">
        <v>0</v>
      </c>
      <c r="G14" s="5" t="s">
        <v>40</v>
      </c>
      <c r="H14">
        <v>0</v>
      </c>
    </row>
    <row r="15" spans="1:8" ht="15.95" customHeight="1" x14ac:dyDescent="0.3">
      <c r="A15" s="62"/>
      <c r="B15" s="62"/>
      <c r="C15" s="10" t="s">
        <v>39</v>
      </c>
      <c r="D15" s="10" t="s">
        <v>0</v>
      </c>
      <c r="E15" s="11"/>
      <c r="F15" s="10" t="s">
        <v>0</v>
      </c>
      <c r="G15" s="5" t="s">
        <v>38</v>
      </c>
      <c r="H15">
        <v>0</v>
      </c>
    </row>
    <row r="16" spans="1:8" ht="15.95" customHeight="1" x14ac:dyDescent="0.3">
      <c r="A16" s="62"/>
      <c r="B16" s="62"/>
      <c r="C16" s="10" t="s">
        <v>37</v>
      </c>
      <c r="D16" s="12" t="str">
        <f>"(재+직.노)*"&amp;H16*100&amp;"%"</f>
        <v>(재+직.노)*3.11%</v>
      </c>
      <c r="E16" s="11"/>
      <c r="F16" s="10" t="s">
        <v>0</v>
      </c>
      <c r="G16" s="5" t="s">
        <v>36</v>
      </c>
      <c r="H16">
        <v>3.1099999999999999E-2</v>
      </c>
    </row>
    <row r="17" spans="1:8" ht="15.95" customHeight="1" x14ac:dyDescent="0.3">
      <c r="A17" s="62"/>
      <c r="B17" s="62"/>
      <c r="C17" s="10" t="s">
        <v>35</v>
      </c>
      <c r="D17" s="10" t="s">
        <v>0</v>
      </c>
      <c r="E17" s="11"/>
      <c r="F17" s="10" t="s">
        <v>0</v>
      </c>
      <c r="G17" s="5" t="s">
        <v>34</v>
      </c>
      <c r="H17">
        <v>0</v>
      </c>
    </row>
    <row r="18" spans="1:8" ht="15.95" customHeight="1" x14ac:dyDescent="0.3">
      <c r="A18" s="62"/>
      <c r="B18" s="62"/>
      <c r="C18" s="10" t="s">
        <v>33</v>
      </c>
      <c r="D18" s="12" t="str">
        <f>"(재+노)*"&amp;H18*100&amp;"%"</f>
        <v>(재+노)*4.831%</v>
      </c>
      <c r="E18" s="11"/>
      <c r="F18" s="10" t="s">
        <v>0</v>
      </c>
      <c r="G18" s="5" t="s">
        <v>32</v>
      </c>
      <c r="H18">
        <v>4.8310000000000006E-2</v>
      </c>
    </row>
    <row r="19" spans="1:8" ht="15.95" customHeight="1" x14ac:dyDescent="0.3">
      <c r="A19" s="62"/>
      <c r="B19" s="62"/>
      <c r="C19" s="10" t="s">
        <v>31</v>
      </c>
      <c r="D19" s="10" t="s">
        <v>0</v>
      </c>
      <c r="E19" s="11"/>
      <c r="F19" s="10" t="s">
        <v>0</v>
      </c>
      <c r="G19" s="5" t="s">
        <v>30</v>
      </c>
      <c r="H19">
        <v>0</v>
      </c>
    </row>
    <row r="20" spans="1:8" ht="15.95" customHeight="1" x14ac:dyDescent="0.3">
      <c r="A20" s="62"/>
      <c r="B20" s="62"/>
      <c r="C20" s="10" t="s">
        <v>29</v>
      </c>
      <c r="D20" s="10" t="s">
        <v>0</v>
      </c>
      <c r="E20" s="11"/>
      <c r="F20" s="10" t="s">
        <v>0</v>
      </c>
      <c r="G20" s="5" t="s">
        <v>28</v>
      </c>
      <c r="H20">
        <v>0</v>
      </c>
    </row>
    <row r="21" spans="1:8" ht="15.95" customHeight="1" x14ac:dyDescent="0.3">
      <c r="A21" s="62"/>
      <c r="B21" s="62"/>
      <c r="C21" s="10" t="s">
        <v>27</v>
      </c>
      <c r="D21" s="10" t="s">
        <v>0</v>
      </c>
      <c r="E21" s="11"/>
      <c r="F21" s="10" t="s">
        <v>0</v>
      </c>
      <c r="G21" s="5" t="s">
        <v>26</v>
      </c>
      <c r="H21">
        <v>0</v>
      </c>
    </row>
    <row r="22" spans="1:8" ht="15.95" customHeight="1" x14ac:dyDescent="0.3">
      <c r="A22" s="62"/>
      <c r="B22" s="62"/>
      <c r="C22" s="10" t="s">
        <v>25</v>
      </c>
      <c r="D22" s="10" t="s">
        <v>0</v>
      </c>
      <c r="E22" s="11"/>
      <c r="F22" s="10" t="s">
        <v>0</v>
      </c>
      <c r="G22" s="5" t="s">
        <v>24</v>
      </c>
      <c r="H22">
        <v>0</v>
      </c>
    </row>
    <row r="23" spans="1:8" ht="15.95" customHeight="1" x14ac:dyDescent="0.3">
      <c r="A23" s="62"/>
      <c r="B23" s="62"/>
      <c r="C23" s="10" t="s">
        <v>23</v>
      </c>
      <c r="D23" s="12" t="str">
        <f>"노*"&amp;H23*100&amp;"%"</f>
        <v>노*0.006%</v>
      </c>
      <c r="E23" s="11"/>
      <c r="F23" s="10" t="s">
        <v>0</v>
      </c>
      <c r="G23" s="5" t="s">
        <v>22</v>
      </c>
      <c r="H23">
        <v>6.0000000000000002E-5</v>
      </c>
    </row>
    <row r="24" spans="1:8" ht="15.95" customHeight="1" x14ac:dyDescent="0.3">
      <c r="A24" s="49"/>
      <c r="B24" s="49"/>
      <c r="C24" s="7" t="s">
        <v>21</v>
      </c>
      <c r="D24" s="9" t="str">
        <f>"노*"&amp;H24*100&amp;"%"</f>
        <v>노*0.09%</v>
      </c>
      <c r="E24" s="8"/>
      <c r="F24" s="7" t="s">
        <v>0</v>
      </c>
      <c r="G24" s="5" t="s">
        <v>20</v>
      </c>
      <c r="H24">
        <v>8.9999999999999998E-4</v>
      </c>
    </row>
    <row r="25" spans="1:8" ht="15.95" customHeight="1" x14ac:dyDescent="0.3">
      <c r="A25" s="47"/>
      <c r="B25" s="47"/>
      <c r="C25" s="3" t="s">
        <v>19</v>
      </c>
      <c r="D25" s="3" t="s">
        <v>0</v>
      </c>
      <c r="E25" s="4"/>
      <c r="F25" s="3" t="s">
        <v>0</v>
      </c>
      <c r="G25" s="5" t="s">
        <v>18</v>
      </c>
      <c r="H25">
        <v>0</v>
      </c>
    </row>
    <row r="26" spans="1:8" ht="15.95" customHeight="1" x14ac:dyDescent="0.3">
      <c r="A26" s="47"/>
      <c r="B26" s="50" t="s">
        <v>17</v>
      </c>
      <c r="C26" s="51"/>
      <c r="D26" s="3" t="s">
        <v>0</v>
      </c>
      <c r="E26" s="4"/>
      <c r="F26" s="3" t="s">
        <v>0</v>
      </c>
      <c r="G26" s="5" t="s">
        <v>16</v>
      </c>
      <c r="H26">
        <v>0</v>
      </c>
    </row>
    <row r="27" spans="1:8" ht="15.95" customHeight="1" x14ac:dyDescent="0.3">
      <c r="A27" s="50" t="s">
        <v>15</v>
      </c>
      <c r="B27" s="51"/>
      <c r="C27" s="51"/>
      <c r="D27" s="6" t="str">
        <f>"(재+노+경)*"&amp;H27*100&amp;"%"</f>
        <v>(재+노+경)*8%</v>
      </c>
      <c r="E27" s="4"/>
      <c r="F27" s="3" t="s">
        <v>0</v>
      </c>
      <c r="G27" s="5" t="s">
        <v>14</v>
      </c>
      <c r="H27">
        <v>0.08</v>
      </c>
    </row>
    <row r="28" spans="1:8" ht="15.95" customHeight="1" x14ac:dyDescent="0.3">
      <c r="A28" s="50" t="s">
        <v>13</v>
      </c>
      <c r="B28" s="51"/>
      <c r="C28" s="51"/>
      <c r="D28" s="6" t="str">
        <f>"(노+경+일)*"&amp;H28*100&amp;"%"</f>
        <v>(노+경+일)*15%</v>
      </c>
      <c r="E28" s="4"/>
      <c r="F28" s="3" t="s">
        <v>0</v>
      </c>
      <c r="G28" s="5" t="s">
        <v>12</v>
      </c>
      <c r="H28">
        <v>0.15</v>
      </c>
    </row>
    <row r="29" spans="1:8" ht="15.95" customHeight="1" x14ac:dyDescent="0.3">
      <c r="A29" s="50" t="s">
        <v>11</v>
      </c>
      <c r="B29" s="51"/>
      <c r="C29" s="51"/>
      <c r="D29" s="3" t="s">
        <v>0</v>
      </c>
      <c r="E29" s="4"/>
      <c r="F29" s="3" t="s">
        <v>0</v>
      </c>
      <c r="G29" s="5" t="s">
        <v>10</v>
      </c>
      <c r="H29">
        <v>0</v>
      </c>
    </row>
    <row r="30" spans="1:8" ht="15.95" customHeight="1" x14ac:dyDescent="0.3">
      <c r="A30" s="50" t="s">
        <v>9</v>
      </c>
      <c r="B30" s="51"/>
      <c r="C30" s="51"/>
      <c r="D30" s="3" t="s">
        <v>0</v>
      </c>
      <c r="E30" s="4"/>
      <c r="F30" s="3" t="s">
        <v>0</v>
      </c>
      <c r="G30" s="5" t="s">
        <v>8</v>
      </c>
      <c r="H30">
        <v>0</v>
      </c>
    </row>
    <row r="31" spans="1:8" ht="15.95" customHeight="1" x14ac:dyDescent="0.3">
      <c r="A31" s="50" t="s">
        <v>7</v>
      </c>
      <c r="B31" s="51"/>
      <c r="C31" s="51"/>
      <c r="D31" s="3" t="s">
        <v>0</v>
      </c>
      <c r="E31" s="4"/>
      <c r="F31" s="3" t="s">
        <v>0</v>
      </c>
      <c r="G31" s="5" t="s">
        <v>6</v>
      </c>
      <c r="H31">
        <v>0</v>
      </c>
    </row>
    <row r="32" spans="1:8" ht="15.95" customHeight="1" x14ac:dyDescent="0.3">
      <c r="A32" s="50" t="s">
        <v>5</v>
      </c>
      <c r="B32" s="51"/>
      <c r="C32" s="51"/>
      <c r="D32" s="6" t="str">
        <f>"(총원가)*"&amp;H32*100&amp;"%"</f>
        <v>(총원가)*10%</v>
      </c>
      <c r="E32" s="4"/>
      <c r="F32" s="3" t="s">
        <v>0</v>
      </c>
      <c r="G32" s="5" t="s">
        <v>4</v>
      </c>
      <c r="H32">
        <v>0.1</v>
      </c>
    </row>
    <row r="33" spans="1:8" ht="15.95" customHeight="1" x14ac:dyDescent="0.3">
      <c r="A33" s="50" t="s">
        <v>3</v>
      </c>
      <c r="B33" s="51"/>
      <c r="C33" s="51"/>
      <c r="D33" s="3" t="s">
        <v>0</v>
      </c>
      <c r="E33" s="4"/>
      <c r="F33" s="3" t="s">
        <v>0</v>
      </c>
      <c r="G33" s="5" t="s">
        <v>2</v>
      </c>
      <c r="H33">
        <v>0</v>
      </c>
    </row>
    <row r="34" spans="1:8" ht="15.95" customHeight="1" x14ac:dyDescent="0.3">
      <c r="A34" s="50" t="s">
        <v>1</v>
      </c>
      <c r="B34" s="51"/>
      <c r="C34" s="51"/>
      <c r="D34" s="3" t="s">
        <v>0</v>
      </c>
      <c r="E34" s="4"/>
      <c r="F34" s="3" t="s">
        <v>0</v>
      </c>
      <c r="H34">
        <v>0</v>
      </c>
    </row>
    <row r="35" spans="1:8" ht="15.95" customHeight="1" x14ac:dyDescent="0.3"/>
  </sheetData>
  <mergeCells count="19">
    <mergeCell ref="A27:C27"/>
    <mergeCell ref="B10:B25"/>
    <mergeCell ref="A33:C33"/>
    <mergeCell ref="A34:C34"/>
    <mergeCell ref="A28:C28"/>
    <mergeCell ref="A29:C29"/>
    <mergeCell ref="A30:C30"/>
    <mergeCell ref="A31:C31"/>
    <mergeCell ref="A32:C32"/>
    <mergeCell ref="A5:A26"/>
    <mergeCell ref="B5:B6"/>
    <mergeCell ref="B7:B9"/>
    <mergeCell ref="B26:C26"/>
    <mergeCell ref="A1:F1"/>
    <mergeCell ref="A2:F2"/>
    <mergeCell ref="A3:C4"/>
    <mergeCell ref="D3:D4"/>
    <mergeCell ref="E3:E4"/>
    <mergeCell ref="F3:F4"/>
  </mergeCells>
  <phoneticPr fontId="1" type="noConversion"/>
  <conditionalFormatting sqref="A5:F34">
    <cfRule type="containsText" dxfId="5" priority="1" stopIfTrue="1" operator="containsText" text=".">
      <formula>NOT(ISERROR(SEARCH(".",A5)))</formula>
    </cfRule>
    <cfRule type="notContainsText" dxfId="4" priority="2" stopIfTrue="1" operator="notContains" text=".">
      <formula>ISERROR(SEARCH(".",A5))</formula>
    </cfRule>
  </conditionalFormatting>
  <pageMargins left="0.75020150040300082" right="0" top="0.35960071920143843" bottom="0.1388888888888889" header="0.3" footer="0.138888888888888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DDE8-D5FF-4764-8FBA-F66DC7F6E284}">
  <sheetPr>
    <tabColor rgb="FFF19D86"/>
  </sheetPr>
  <dimension ref="A1:AY48"/>
  <sheetViews>
    <sheetView workbookViewId="0">
      <selection activeCell="K46" sqref="K46"/>
    </sheetView>
  </sheetViews>
  <sheetFormatPr defaultRowHeight="16.5" x14ac:dyDescent="0.3"/>
  <cols>
    <col min="1" max="1" width="20.625" style="1" customWidth="1"/>
    <col min="2" max="2" width="2.625" style="1" customWidth="1"/>
    <col min="3" max="4" width="3.625" style="16" customWidth="1"/>
    <col min="5" max="10" width="10.625" style="2" customWidth="1"/>
    <col min="11" max="12" width="11.625" style="2" customWidth="1"/>
    <col min="13" max="13" width="7.625" style="16" customWidth="1"/>
    <col min="14" max="51" width="9" hidden="1" customWidth="1"/>
  </cols>
  <sheetData>
    <row r="1" spans="1:51" ht="30" customHeight="1" x14ac:dyDescent="0.3">
      <c r="A1" s="52" t="s">
        <v>132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51" ht="20.100000000000001" customHeight="1" x14ac:dyDescent="0.3">
      <c r="A2" s="53" t="s">
        <v>66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51" ht="20.100000000000001" customHeight="1" x14ac:dyDescent="0.3">
      <c r="A3" s="61" t="s">
        <v>131</v>
      </c>
      <c r="B3" s="61"/>
      <c r="C3" s="61" t="s">
        <v>130</v>
      </c>
      <c r="D3" s="61" t="s">
        <v>129</v>
      </c>
      <c r="E3" s="61" t="s">
        <v>128</v>
      </c>
      <c r="F3" s="61"/>
      <c r="G3" s="61" t="s">
        <v>127</v>
      </c>
      <c r="H3" s="61"/>
      <c r="I3" s="61" t="s">
        <v>126</v>
      </c>
      <c r="J3" s="61"/>
      <c r="K3" s="61" t="s">
        <v>125</v>
      </c>
      <c r="L3" s="61"/>
      <c r="M3" s="61" t="s">
        <v>124</v>
      </c>
    </row>
    <row r="4" spans="1:51" ht="20.100000000000001" customHeight="1" x14ac:dyDescent="0.3">
      <c r="A4" s="61"/>
      <c r="B4" s="61"/>
      <c r="C4" s="61"/>
      <c r="D4" s="61"/>
      <c r="E4" s="26" t="s">
        <v>123</v>
      </c>
      <c r="F4" s="26" t="s">
        <v>122</v>
      </c>
      <c r="G4" s="26" t="s">
        <v>123</v>
      </c>
      <c r="H4" s="26" t="s">
        <v>122</v>
      </c>
      <c r="I4" s="26" t="s">
        <v>123</v>
      </c>
      <c r="J4" s="26" t="s">
        <v>122</v>
      </c>
      <c r="K4" s="26" t="s">
        <v>123</v>
      </c>
      <c r="L4" s="26" t="s">
        <v>122</v>
      </c>
      <c r="M4" s="61"/>
      <c r="N4" t="s">
        <v>121</v>
      </c>
      <c r="O4" t="s">
        <v>120</v>
      </c>
      <c r="P4" t="s">
        <v>119</v>
      </c>
      <c r="Q4" t="s">
        <v>118</v>
      </c>
      <c r="R4" t="s">
        <v>117</v>
      </c>
      <c r="S4" t="s">
        <v>116</v>
      </c>
      <c r="T4" t="s">
        <v>99</v>
      </c>
      <c r="U4" t="s">
        <v>115</v>
      </c>
      <c r="V4" t="s">
        <v>114</v>
      </c>
      <c r="W4" t="s">
        <v>113</v>
      </c>
      <c r="X4" t="s">
        <v>112</v>
      </c>
      <c r="Y4" t="s">
        <v>111</v>
      </c>
      <c r="Z4" t="s">
        <v>110</v>
      </c>
      <c r="AA4" t="s">
        <v>109</v>
      </c>
      <c r="AB4" t="s">
        <v>108</v>
      </c>
      <c r="AC4" t="s">
        <v>107</v>
      </c>
      <c r="AD4" t="s">
        <v>106</v>
      </c>
      <c r="AE4" t="s">
        <v>105</v>
      </c>
      <c r="AF4" t="s">
        <v>104</v>
      </c>
      <c r="AG4" t="s">
        <v>103</v>
      </c>
      <c r="AH4" t="s">
        <v>102</v>
      </c>
      <c r="AI4" t="s">
        <v>101</v>
      </c>
      <c r="AJ4" t="s">
        <v>100</v>
      </c>
      <c r="AK4" t="s">
        <v>99</v>
      </c>
      <c r="AL4" t="s">
        <v>98</v>
      </c>
      <c r="AM4" t="s">
        <v>97</v>
      </c>
      <c r="AN4" t="s">
        <v>96</v>
      </c>
      <c r="AO4" t="s">
        <v>95</v>
      </c>
      <c r="AP4" t="s">
        <v>94</v>
      </c>
      <c r="AQ4" t="s">
        <v>93</v>
      </c>
      <c r="AR4" t="s">
        <v>92</v>
      </c>
      <c r="AS4" t="s">
        <v>91</v>
      </c>
      <c r="AT4" t="s">
        <v>90</v>
      </c>
      <c r="AU4" t="s">
        <v>89</v>
      </c>
      <c r="AV4" t="s">
        <v>88</v>
      </c>
      <c r="AW4" t="s">
        <v>87</v>
      </c>
      <c r="AX4" t="s">
        <v>86</v>
      </c>
      <c r="AY4" t="s">
        <v>85</v>
      </c>
    </row>
    <row r="5" spans="1:51" ht="20.100000000000001" customHeight="1" x14ac:dyDescent="0.3">
      <c r="A5" s="25" t="s">
        <v>81</v>
      </c>
      <c r="B5" s="25" t="s">
        <v>0</v>
      </c>
      <c r="C5" s="24" t="s">
        <v>69</v>
      </c>
      <c r="D5" s="22">
        <v>1</v>
      </c>
      <c r="E5" s="18"/>
      <c r="F5" s="18"/>
      <c r="G5" s="18"/>
      <c r="H5" s="18"/>
      <c r="I5" s="18"/>
      <c r="J5" s="18"/>
      <c r="K5" s="18"/>
      <c r="L5" s="18"/>
      <c r="M5" s="21"/>
      <c r="Q5">
        <v>1</v>
      </c>
      <c r="R5">
        <f>D5*R48</f>
        <v>0</v>
      </c>
      <c r="S5">
        <f>D5*S48</f>
        <v>0</v>
      </c>
      <c r="T5">
        <f>D5*T48</f>
        <v>0</v>
      </c>
      <c r="U5">
        <f>D5*U48</f>
        <v>0</v>
      </c>
      <c r="V5">
        <f>D5*V48</f>
        <v>0</v>
      </c>
      <c r="W5">
        <f>D5*W48</f>
        <v>0</v>
      </c>
      <c r="X5">
        <f>D5*X48</f>
        <v>0</v>
      </c>
      <c r="Y5">
        <f>D5*Y48</f>
        <v>0</v>
      </c>
      <c r="Z5">
        <f>D5*Z48</f>
        <v>0</v>
      </c>
      <c r="AA5">
        <f>D5*AA48</f>
        <v>0</v>
      </c>
      <c r="AB5">
        <f>D5*AB48</f>
        <v>0</v>
      </c>
      <c r="AC5">
        <f>D5*AC48</f>
        <v>0</v>
      </c>
      <c r="AD5">
        <f>D5*AD48</f>
        <v>0</v>
      </c>
      <c r="AE5">
        <f>D5*AE48</f>
        <v>0</v>
      </c>
      <c r="AF5">
        <f>D5*AF48</f>
        <v>0</v>
      </c>
      <c r="AG5">
        <f>D5*AG48</f>
        <v>0</v>
      </c>
      <c r="AH5">
        <f>D5*AH48</f>
        <v>0</v>
      </c>
      <c r="AI5">
        <f>D5*AI48</f>
        <v>0</v>
      </c>
      <c r="AJ5">
        <f>D5*AJ48</f>
        <v>0</v>
      </c>
      <c r="AK5">
        <f>D5*AK48</f>
        <v>0</v>
      </c>
      <c r="AL5">
        <f>D5*AL48</f>
        <v>0</v>
      </c>
      <c r="AM5">
        <f>D5*AM48</f>
        <v>0</v>
      </c>
      <c r="AN5">
        <f>D5*AN48</f>
        <v>0</v>
      </c>
      <c r="AO5">
        <f>D5*AO48</f>
        <v>0</v>
      </c>
      <c r="AP5">
        <f>D5*AP48</f>
        <v>0</v>
      </c>
      <c r="AQ5">
        <f>D5*AQ48</f>
        <v>0</v>
      </c>
      <c r="AR5">
        <f>D5*AR48</f>
        <v>0</v>
      </c>
      <c r="AS5">
        <f>D5*AS48</f>
        <v>0</v>
      </c>
      <c r="AT5">
        <f>D5*AT48</f>
        <v>0</v>
      </c>
      <c r="AU5">
        <f>D5*AU48</f>
        <v>0</v>
      </c>
      <c r="AV5">
        <f>D5*AV48</f>
        <v>0</v>
      </c>
    </row>
    <row r="6" spans="1:51" ht="20.100000000000001" customHeight="1" x14ac:dyDescent="0.3">
      <c r="A6" s="25" t="s">
        <v>84</v>
      </c>
      <c r="B6" s="25" t="s">
        <v>0</v>
      </c>
      <c r="C6" s="24" t="s">
        <v>69</v>
      </c>
      <c r="D6" s="22">
        <v>1</v>
      </c>
      <c r="E6" s="18"/>
      <c r="F6" s="18"/>
      <c r="G6" s="18"/>
      <c r="H6" s="18"/>
      <c r="I6" s="18"/>
      <c r="J6" s="18"/>
      <c r="K6" s="18"/>
      <c r="L6" s="18"/>
      <c r="M6" s="21"/>
      <c r="Q6">
        <v>1</v>
      </c>
      <c r="R6">
        <f>D6*'내역서(건축)'!R290</f>
        <v>0</v>
      </c>
      <c r="S6">
        <f>D6*'내역서(건축)'!S290</f>
        <v>0</v>
      </c>
      <c r="T6">
        <f>D6*'내역서(건축)'!T290</f>
        <v>0</v>
      </c>
      <c r="U6">
        <f>D6*'내역서(건축)'!U290</f>
        <v>0</v>
      </c>
      <c r="V6">
        <f>D6*'내역서(건축)'!V290</f>
        <v>0</v>
      </c>
      <c r="W6">
        <f>D6*'내역서(건축)'!W290</f>
        <v>0</v>
      </c>
      <c r="X6">
        <f>D6*'내역서(건축)'!X290</f>
        <v>0</v>
      </c>
      <c r="Y6">
        <f>D6*'내역서(건축)'!Y290</f>
        <v>0</v>
      </c>
      <c r="Z6">
        <f>D6*'내역서(건축)'!Z290</f>
        <v>0</v>
      </c>
      <c r="AA6">
        <f>D6*'내역서(건축)'!AA290</f>
        <v>0</v>
      </c>
      <c r="AB6">
        <f>D6*'내역서(건축)'!AB290</f>
        <v>0</v>
      </c>
      <c r="AC6">
        <f>D6*'내역서(건축)'!AC290</f>
        <v>0</v>
      </c>
      <c r="AD6">
        <f>D6*'내역서(건축)'!AD290</f>
        <v>0</v>
      </c>
      <c r="AE6">
        <f>D6*'내역서(건축)'!AE290</f>
        <v>0</v>
      </c>
      <c r="AF6">
        <f>D6*'내역서(건축)'!AF290</f>
        <v>0</v>
      </c>
      <c r="AG6">
        <f>D6*'내역서(건축)'!AG290</f>
        <v>0</v>
      </c>
      <c r="AH6">
        <f>D6*'내역서(건축)'!AH290</f>
        <v>0</v>
      </c>
      <c r="AI6">
        <f>D6*'내역서(건축)'!AI290</f>
        <v>0</v>
      </c>
      <c r="AJ6">
        <f>D6*'내역서(건축)'!AJ290</f>
        <v>0</v>
      </c>
      <c r="AK6">
        <f>D6*'내역서(건축)'!AK290</f>
        <v>0</v>
      </c>
      <c r="AL6">
        <f>D6*'내역서(건축)'!AL290</f>
        <v>0</v>
      </c>
      <c r="AM6">
        <f>D6*'내역서(건축)'!AM290</f>
        <v>0</v>
      </c>
      <c r="AN6">
        <f>D6*'내역서(건축)'!AN290</f>
        <v>0</v>
      </c>
      <c r="AO6">
        <f>D6*'내역서(건축)'!AO290</f>
        <v>0</v>
      </c>
      <c r="AP6">
        <f>D6*'내역서(건축)'!AP290</f>
        <v>0</v>
      </c>
      <c r="AQ6">
        <f>D6*'내역서(건축)'!AQ290</f>
        <v>0</v>
      </c>
      <c r="AR6">
        <f>D6*'내역서(건축)'!AR290</f>
        <v>0</v>
      </c>
      <c r="AS6">
        <f>D6*'내역서(건축)'!AS290</f>
        <v>0</v>
      </c>
      <c r="AT6">
        <f>D6*'내역서(건축)'!AT290</f>
        <v>0</v>
      </c>
      <c r="AU6">
        <f>D6*'내역서(건축)'!AU290</f>
        <v>0</v>
      </c>
      <c r="AV6">
        <f>D6*'내역서(건축)'!AV290</f>
        <v>0</v>
      </c>
    </row>
    <row r="7" spans="1:51" ht="20.100000000000001" customHeight="1" x14ac:dyDescent="0.3">
      <c r="A7" s="25" t="s">
        <v>83</v>
      </c>
      <c r="B7" s="23"/>
      <c r="C7" s="24" t="s">
        <v>69</v>
      </c>
      <c r="D7" s="22">
        <v>1</v>
      </c>
      <c r="E7" s="18"/>
      <c r="F7" s="18"/>
      <c r="G7" s="18"/>
      <c r="H7" s="18"/>
      <c r="I7" s="18"/>
      <c r="J7" s="18"/>
      <c r="K7" s="18"/>
      <c r="L7" s="18"/>
      <c r="M7" s="24"/>
      <c r="R7">
        <f>D7*'내역서(건축)'!R312</f>
        <v>0</v>
      </c>
      <c r="S7">
        <f>D7*'내역서(건축)'!S312</f>
        <v>0</v>
      </c>
      <c r="T7">
        <f>D7*'내역서(건축)'!T312</f>
        <v>0</v>
      </c>
      <c r="U7">
        <f>D7*'내역서(건축)'!U312</f>
        <v>0</v>
      </c>
      <c r="V7">
        <f>D7*'내역서(건축)'!V312</f>
        <v>0</v>
      </c>
      <c r="W7">
        <f>D7*'내역서(건축)'!W312</f>
        <v>0</v>
      </c>
      <c r="X7">
        <f>D7*'내역서(건축)'!X312</f>
        <v>0</v>
      </c>
      <c r="Y7">
        <f>D7*'내역서(건축)'!Y312</f>
        <v>0</v>
      </c>
      <c r="Z7">
        <f>D7*'내역서(건축)'!Z312</f>
        <v>0</v>
      </c>
      <c r="AA7">
        <f>D7*'내역서(건축)'!AA312</f>
        <v>0</v>
      </c>
      <c r="AB7">
        <f>D7*'내역서(건축)'!AB312</f>
        <v>0</v>
      </c>
      <c r="AC7">
        <f>D7*'내역서(건축)'!AC312</f>
        <v>0</v>
      </c>
      <c r="AD7">
        <f>D7*'내역서(건축)'!AD312</f>
        <v>0</v>
      </c>
      <c r="AE7">
        <f>D7*'내역서(건축)'!AE312</f>
        <v>0</v>
      </c>
      <c r="AF7">
        <f>D7*'내역서(건축)'!AF312</f>
        <v>0</v>
      </c>
      <c r="AG7">
        <f>D7*'내역서(건축)'!AG312</f>
        <v>0</v>
      </c>
      <c r="AH7">
        <f>D7*'내역서(건축)'!AH312</f>
        <v>0</v>
      </c>
      <c r="AI7">
        <f>D7*'내역서(건축)'!AI312</f>
        <v>0</v>
      </c>
      <c r="AJ7">
        <f>D7*'내역서(건축)'!AJ312</f>
        <v>0</v>
      </c>
      <c r="AK7">
        <f>D7*'내역서(건축)'!AK312</f>
        <v>0</v>
      </c>
      <c r="AL7">
        <f>D7*'내역서(건축)'!AL312</f>
        <v>0</v>
      </c>
      <c r="AM7">
        <f>D7*'내역서(건축)'!AM312</f>
        <v>0</v>
      </c>
      <c r="AN7">
        <f>D7*'내역서(건축)'!AN312</f>
        <v>0</v>
      </c>
      <c r="AO7">
        <f>D7*'내역서(건축)'!AO312</f>
        <v>0</v>
      </c>
      <c r="AP7">
        <f>D7*'내역서(건축)'!AP312</f>
        <v>0</v>
      </c>
      <c r="AQ7">
        <f>D7*'내역서(건축)'!AQ312</f>
        <v>0</v>
      </c>
      <c r="AR7">
        <f>D7*'내역서(건축)'!AR312</f>
        <v>0</v>
      </c>
      <c r="AS7">
        <f>D7*'내역서(건축)'!AS312</f>
        <v>0</v>
      </c>
      <c r="AT7">
        <f>D7*'내역서(건축)'!AT312</f>
        <v>0</v>
      </c>
      <c r="AU7">
        <f>D7*'내역서(건축)'!AU312</f>
        <v>0</v>
      </c>
      <c r="AV7">
        <f>D7*'내역서(건축)'!AV312</f>
        <v>0</v>
      </c>
    </row>
    <row r="8" spans="1:51" ht="20.100000000000001" customHeight="1" x14ac:dyDescent="0.3">
      <c r="A8" s="25" t="s">
        <v>82</v>
      </c>
      <c r="B8" s="23"/>
      <c r="C8" s="24" t="s">
        <v>69</v>
      </c>
      <c r="D8" s="22">
        <v>1</v>
      </c>
      <c r="E8" s="18"/>
      <c r="F8" s="18"/>
      <c r="G8" s="18"/>
      <c r="H8" s="18"/>
      <c r="I8" s="18"/>
      <c r="J8" s="18"/>
      <c r="K8" s="18"/>
      <c r="L8" s="18"/>
      <c r="M8" s="24"/>
    </row>
    <row r="9" spans="1:51" ht="20.100000000000001" customHeight="1" x14ac:dyDescent="0.3">
      <c r="A9" s="23"/>
      <c r="B9" s="23"/>
      <c r="C9" s="21"/>
      <c r="D9" s="22"/>
      <c r="E9" s="18"/>
      <c r="F9" s="18"/>
      <c r="G9" s="18"/>
      <c r="H9" s="18"/>
      <c r="I9" s="18"/>
      <c r="J9" s="18"/>
      <c r="K9" s="18"/>
      <c r="L9" s="18"/>
      <c r="M9" s="21"/>
    </row>
    <row r="10" spans="1:51" ht="20.100000000000001" customHeight="1" x14ac:dyDescent="0.3">
      <c r="A10" s="23"/>
      <c r="B10" s="23"/>
      <c r="C10" s="21"/>
      <c r="D10" s="22"/>
      <c r="E10" s="18"/>
      <c r="F10" s="18"/>
      <c r="G10" s="18"/>
      <c r="H10" s="18"/>
      <c r="I10" s="18"/>
      <c r="J10" s="18"/>
      <c r="K10" s="18"/>
      <c r="L10" s="18"/>
      <c r="M10" s="21"/>
    </row>
    <row r="11" spans="1:51" ht="20.100000000000001" customHeight="1" x14ac:dyDescent="0.3">
      <c r="A11" s="23"/>
      <c r="B11" s="23"/>
      <c r="C11" s="21"/>
      <c r="D11" s="22"/>
      <c r="E11" s="18"/>
      <c r="F11" s="18"/>
      <c r="G11" s="18"/>
      <c r="H11" s="18"/>
      <c r="I11" s="18"/>
      <c r="J11" s="18"/>
      <c r="K11" s="18"/>
      <c r="L11" s="18"/>
      <c r="M11" s="21"/>
    </row>
    <row r="12" spans="1:51" ht="20.100000000000001" customHeight="1" x14ac:dyDescent="0.3">
      <c r="A12" s="23"/>
      <c r="B12" s="23"/>
      <c r="C12" s="21"/>
      <c r="D12" s="22"/>
      <c r="E12" s="18"/>
      <c r="F12" s="18"/>
      <c r="G12" s="18"/>
      <c r="H12" s="18"/>
      <c r="I12" s="18"/>
      <c r="J12" s="18"/>
      <c r="K12" s="18"/>
      <c r="L12" s="18"/>
      <c r="M12" s="21"/>
    </row>
    <row r="13" spans="1:51" ht="20.100000000000001" customHeight="1" x14ac:dyDescent="0.3">
      <c r="A13" s="23"/>
      <c r="B13" s="23"/>
      <c r="C13" s="21"/>
      <c r="D13" s="22"/>
      <c r="E13" s="18"/>
      <c r="F13" s="18"/>
      <c r="G13" s="18"/>
      <c r="H13" s="18"/>
      <c r="I13" s="18"/>
      <c r="J13" s="18"/>
      <c r="K13" s="18"/>
      <c r="L13" s="18"/>
      <c r="M13" s="21"/>
    </row>
    <row r="14" spans="1:51" ht="20.100000000000001" customHeight="1" x14ac:dyDescent="0.3">
      <c r="A14" s="23"/>
      <c r="B14" s="23"/>
      <c r="C14" s="21"/>
      <c r="D14" s="22"/>
      <c r="E14" s="18"/>
      <c r="F14" s="18"/>
      <c r="G14" s="18"/>
      <c r="H14" s="18"/>
      <c r="I14" s="18"/>
      <c r="J14" s="18"/>
      <c r="K14" s="18"/>
      <c r="L14" s="18"/>
      <c r="M14" s="21"/>
    </row>
    <row r="15" spans="1:51" ht="20.100000000000001" customHeight="1" x14ac:dyDescent="0.3">
      <c r="A15" s="23"/>
      <c r="B15" s="23"/>
      <c r="C15" s="21"/>
      <c r="D15" s="22"/>
      <c r="E15" s="18"/>
      <c r="F15" s="18"/>
      <c r="G15" s="18"/>
      <c r="H15" s="18"/>
      <c r="I15" s="18"/>
      <c r="J15" s="18"/>
      <c r="K15" s="18"/>
      <c r="L15" s="18"/>
      <c r="M15" s="21"/>
    </row>
    <row r="16" spans="1:51" ht="20.100000000000001" customHeight="1" x14ac:dyDescent="0.3">
      <c r="A16" s="23"/>
      <c r="B16" s="23"/>
      <c r="C16" s="21"/>
      <c r="D16" s="22"/>
      <c r="E16" s="18"/>
      <c r="F16" s="18"/>
      <c r="G16" s="18"/>
      <c r="H16" s="18"/>
      <c r="I16" s="18"/>
      <c r="J16" s="18"/>
      <c r="K16" s="18"/>
      <c r="L16" s="18"/>
      <c r="M16" s="21"/>
    </row>
    <row r="17" spans="1:51" ht="20.100000000000001" customHeight="1" x14ac:dyDescent="0.3">
      <c r="A17" s="23"/>
      <c r="B17" s="23"/>
      <c r="C17" s="21"/>
      <c r="D17" s="22"/>
      <c r="E17" s="18"/>
      <c r="F17" s="18"/>
      <c r="G17" s="18"/>
      <c r="H17" s="18"/>
      <c r="I17" s="18"/>
      <c r="J17" s="18"/>
      <c r="K17" s="18"/>
      <c r="L17" s="18"/>
      <c r="M17" s="21"/>
    </row>
    <row r="18" spans="1:51" ht="20.100000000000001" customHeight="1" x14ac:dyDescent="0.3">
      <c r="A18" s="23"/>
      <c r="B18" s="23"/>
      <c r="C18" s="21"/>
      <c r="D18" s="22"/>
      <c r="E18" s="18"/>
      <c r="F18" s="18"/>
      <c r="G18" s="18"/>
      <c r="H18" s="18"/>
      <c r="I18" s="18"/>
      <c r="J18" s="18"/>
      <c r="K18" s="18"/>
      <c r="L18" s="18"/>
      <c r="M18" s="21"/>
    </row>
    <row r="19" spans="1:51" ht="20.100000000000001" customHeight="1" x14ac:dyDescent="0.3">
      <c r="A19" s="23"/>
      <c r="B19" s="23"/>
      <c r="C19" s="21"/>
      <c r="D19" s="22"/>
      <c r="E19" s="18"/>
      <c r="F19" s="18"/>
      <c r="G19" s="18"/>
      <c r="H19" s="18"/>
      <c r="I19" s="18"/>
      <c r="J19" s="18"/>
      <c r="K19" s="18"/>
      <c r="L19" s="18"/>
      <c r="M19" s="21"/>
    </row>
    <row r="20" spans="1:51" ht="20.100000000000001" customHeight="1" x14ac:dyDescent="0.3">
      <c r="A20" s="23"/>
      <c r="B20" s="23"/>
      <c r="C20" s="21"/>
      <c r="D20" s="22"/>
      <c r="E20" s="18"/>
      <c r="F20" s="18"/>
      <c r="G20" s="18"/>
      <c r="H20" s="18"/>
      <c r="I20" s="18"/>
      <c r="J20" s="18"/>
      <c r="K20" s="18"/>
      <c r="L20" s="18"/>
      <c r="M20" s="21"/>
    </row>
    <row r="21" spans="1:51" ht="20.100000000000001" customHeight="1" x14ac:dyDescent="0.3">
      <c r="A21" s="23"/>
      <c r="B21" s="23"/>
      <c r="C21" s="21"/>
      <c r="D21" s="22"/>
      <c r="E21" s="18"/>
      <c r="F21" s="18"/>
      <c r="G21" s="18"/>
      <c r="H21" s="18"/>
      <c r="I21" s="18"/>
      <c r="J21" s="18"/>
      <c r="K21" s="18"/>
      <c r="L21" s="18"/>
      <c r="M21" s="21"/>
    </row>
    <row r="22" spans="1:51" ht="20.100000000000001" customHeight="1" x14ac:dyDescent="0.3">
      <c r="A22" s="23"/>
      <c r="B22" s="23"/>
      <c r="C22" s="21"/>
      <c r="D22" s="22"/>
      <c r="E22" s="18"/>
      <c r="F22" s="18"/>
      <c r="G22" s="18"/>
      <c r="H22" s="18"/>
      <c r="I22" s="18"/>
      <c r="J22" s="18"/>
      <c r="K22" s="18"/>
      <c r="L22" s="18"/>
      <c r="M22" s="21"/>
    </row>
    <row r="23" spans="1:51" ht="20.100000000000001" customHeight="1" x14ac:dyDescent="0.3">
      <c r="A23" s="23"/>
      <c r="B23" s="23"/>
      <c r="C23" s="21"/>
      <c r="D23" s="22"/>
      <c r="E23" s="18"/>
      <c r="F23" s="18"/>
      <c r="G23" s="18"/>
      <c r="H23" s="18"/>
      <c r="I23" s="18"/>
      <c r="J23" s="18"/>
      <c r="K23" s="18"/>
      <c r="L23" s="18"/>
      <c r="M23" s="21"/>
    </row>
    <row r="24" spans="1:51" ht="20.100000000000001" customHeight="1" x14ac:dyDescent="0.3">
      <c r="A24" s="23"/>
      <c r="B24" s="23"/>
      <c r="C24" s="21"/>
      <c r="D24" s="22"/>
      <c r="E24" s="18"/>
      <c r="F24" s="18"/>
      <c r="G24" s="18"/>
      <c r="H24" s="18"/>
      <c r="I24" s="18"/>
      <c r="J24" s="18"/>
      <c r="K24" s="18"/>
      <c r="L24" s="18"/>
      <c r="M24" s="21"/>
    </row>
    <row r="25" spans="1:51" ht="20.100000000000001" customHeight="1" x14ac:dyDescent="0.3">
      <c r="A25" s="23"/>
      <c r="B25" s="23"/>
      <c r="C25" s="21"/>
      <c r="D25" s="22"/>
      <c r="E25" s="18"/>
      <c r="F25" s="18"/>
      <c r="G25" s="18"/>
      <c r="H25" s="18"/>
      <c r="I25" s="18"/>
      <c r="J25" s="18"/>
      <c r="K25" s="18"/>
      <c r="L25" s="18"/>
      <c r="M25" s="21"/>
    </row>
    <row r="26" spans="1:51" ht="20.100000000000001" customHeight="1" x14ac:dyDescent="0.3">
      <c r="A26" s="20" t="s">
        <v>68</v>
      </c>
      <c r="B26" s="6"/>
      <c r="C26" s="17"/>
      <c r="D26" s="19"/>
      <c r="E26" s="18"/>
      <c r="F26" s="4"/>
      <c r="G26" s="18"/>
      <c r="H26" s="4"/>
      <c r="I26" s="18"/>
      <c r="J26" s="4"/>
      <c r="K26" s="18"/>
      <c r="L26" s="4"/>
      <c r="M26" s="17"/>
      <c r="R26">
        <f t="shared" ref="R26:AY26" si="0">SUM(R5:R8)</f>
        <v>0</v>
      </c>
      <c r="S26">
        <f t="shared" si="0"/>
        <v>0</v>
      </c>
      <c r="T26">
        <f t="shared" si="0"/>
        <v>0</v>
      </c>
      <c r="U26">
        <f t="shared" si="0"/>
        <v>0</v>
      </c>
      <c r="V26">
        <f t="shared" si="0"/>
        <v>0</v>
      </c>
      <c r="W26">
        <f t="shared" si="0"/>
        <v>0</v>
      </c>
      <c r="X26">
        <f t="shared" si="0"/>
        <v>0</v>
      </c>
      <c r="Y26">
        <f t="shared" si="0"/>
        <v>0</v>
      </c>
      <c r="Z26">
        <f t="shared" si="0"/>
        <v>0</v>
      </c>
      <c r="AA26">
        <f t="shared" si="0"/>
        <v>0</v>
      </c>
      <c r="AB26">
        <f t="shared" si="0"/>
        <v>0</v>
      </c>
      <c r="AC26">
        <f t="shared" si="0"/>
        <v>0</v>
      </c>
      <c r="AD26">
        <f t="shared" si="0"/>
        <v>0</v>
      </c>
      <c r="AE26">
        <f t="shared" si="0"/>
        <v>0</v>
      </c>
      <c r="AF26">
        <f t="shared" si="0"/>
        <v>0</v>
      </c>
      <c r="AG26">
        <f t="shared" si="0"/>
        <v>0</v>
      </c>
      <c r="AH26">
        <f t="shared" si="0"/>
        <v>0</v>
      </c>
      <c r="AI26">
        <f t="shared" si="0"/>
        <v>0</v>
      </c>
      <c r="AJ26">
        <f t="shared" si="0"/>
        <v>0</v>
      </c>
      <c r="AK26">
        <f t="shared" si="0"/>
        <v>0</v>
      </c>
      <c r="AL26">
        <f t="shared" si="0"/>
        <v>0</v>
      </c>
      <c r="AM26">
        <f t="shared" si="0"/>
        <v>0</v>
      </c>
      <c r="AN26">
        <f t="shared" si="0"/>
        <v>0</v>
      </c>
      <c r="AO26">
        <f t="shared" si="0"/>
        <v>0</v>
      </c>
      <c r="AP26">
        <f t="shared" si="0"/>
        <v>0</v>
      </c>
      <c r="AQ26">
        <f t="shared" si="0"/>
        <v>0</v>
      </c>
      <c r="AR26">
        <f t="shared" si="0"/>
        <v>0</v>
      </c>
      <c r="AS26">
        <f t="shared" si="0"/>
        <v>0</v>
      </c>
      <c r="AT26">
        <f t="shared" si="0"/>
        <v>0</v>
      </c>
      <c r="AU26">
        <f t="shared" si="0"/>
        <v>0</v>
      </c>
      <c r="AV26">
        <f t="shared" si="0"/>
        <v>0</v>
      </c>
      <c r="AW26">
        <f t="shared" si="0"/>
        <v>0</v>
      </c>
      <c r="AX26">
        <f t="shared" si="0"/>
        <v>0</v>
      </c>
      <c r="AY26">
        <f t="shared" si="0"/>
        <v>0</v>
      </c>
    </row>
    <row r="27" spans="1:51" ht="20.100000000000001" customHeight="1" x14ac:dyDescent="0.3">
      <c r="A27" s="25" t="s">
        <v>81</v>
      </c>
      <c r="B27" s="23"/>
      <c r="C27" s="21"/>
      <c r="D27" s="22"/>
      <c r="E27" s="18"/>
      <c r="F27" s="18"/>
      <c r="G27" s="18"/>
      <c r="H27" s="18"/>
      <c r="I27" s="18"/>
      <c r="J27" s="18"/>
      <c r="K27" s="18"/>
      <c r="L27" s="18"/>
      <c r="M27" s="21"/>
    </row>
    <row r="28" spans="1:51" ht="20.100000000000001" customHeight="1" x14ac:dyDescent="0.3">
      <c r="A28" s="25" t="s">
        <v>80</v>
      </c>
      <c r="B28" s="23"/>
      <c r="C28" s="24" t="s">
        <v>69</v>
      </c>
      <c r="D28" s="22">
        <v>1</v>
      </c>
      <c r="E28" s="18"/>
      <c r="F28" s="18"/>
      <c r="G28" s="18"/>
      <c r="H28" s="18"/>
      <c r="I28" s="18"/>
      <c r="J28" s="18"/>
      <c r="K28" s="18"/>
      <c r="L28" s="18"/>
      <c r="M28" s="21"/>
      <c r="Q28">
        <v>1</v>
      </c>
      <c r="R28">
        <f>D28*'내역서(건축)'!R26</f>
        <v>0</v>
      </c>
      <c r="S28">
        <f>D28*'내역서(건축)'!S26</f>
        <v>0</v>
      </c>
      <c r="T28">
        <f>D28*'내역서(건축)'!T26</f>
        <v>0</v>
      </c>
      <c r="U28">
        <f>D28*'내역서(건축)'!U26</f>
        <v>0</v>
      </c>
      <c r="V28">
        <f>D28*'내역서(건축)'!V26</f>
        <v>0</v>
      </c>
      <c r="W28">
        <f>D28*'내역서(건축)'!W26</f>
        <v>0</v>
      </c>
      <c r="X28">
        <f>D28*'내역서(건축)'!X26</f>
        <v>0</v>
      </c>
      <c r="Y28">
        <f>D28*'내역서(건축)'!Y26</f>
        <v>0</v>
      </c>
      <c r="Z28">
        <f>D28*'내역서(건축)'!Z26</f>
        <v>0</v>
      </c>
      <c r="AA28">
        <f>D28*'내역서(건축)'!AA26</f>
        <v>0</v>
      </c>
      <c r="AB28">
        <f>D28*'내역서(건축)'!AB26</f>
        <v>0</v>
      </c>
      <c r="AC28">
        <f>D28*'내역서(건축)'!AC26</f>
        <v>0</v>
      </c>
      <c r="AD28">
        <f>D28*'내역서(건축)'!AD26</f>
        <v>0</v>
      </c>
      <c r="AE28">
        <f>D28*'내역서(건축)'!AE26</f>
        <v>0</v>
      </c>
      <c r="AF28">
        <f>D28*'내역서(건축)'!AF26</f>
        <v>0</v>
      </c>
      <c r="AG28">
        <f>D28*'내역서(건축)'!AG26</f>
        <v>0</v>
      </c>
      <c r="AH28">
        <f>D28*'내역서(건축)'!AH26</f>
        <v>0</v>
      </c>
      <c r="AI28">
        <f>D28*'내역서(건축)'!AI26</f>
        <v>0</v>
      </c>
      <c r="AJ28">
        <f>D28*'내역서(건축)'!AJ26</f>
        <v>0</v>
      </c>
      <c r="AK28">
        <f>D28*'내역서(건축)'!AK26</f>
        <v>0</v>
      </c>
      <c r="AL28">
        <f>D28*'내역서(건축)'!AL26</f>
        <v>0</v>
      </c>
      <c r="AM28">
        <f>D28*'내역서(건축)'!AM26</f>
        <v>0</v>
      </c>
      <c r="AN28">
        <f>D28*'내역서(건축)'!AN26</f>
        <v>0</v>
      </c>
      <c r="AO28">
        <f>D28*'내역서(건축)'!AO26</f>
        <v>0</v>
      </c>
      <c r="AP28">
        <f>D28*'내역서(건축)'!AP26</f>
        <v>0</v>
      </c>
      <c r="AQ28">
        <f>D28*'내역서(건축)'!AQ26</f>
        <v>0</v>
      </c>
      <c r="AR28">
        <f>D28*'내역서(건축)'!AR26</f>
        <v>0</v>
      </c>
      <c r="AS28">
        <f>D28*'내역서(건축)'!AS26</f>
        <v>0</v>
      </c>
      <c r="AT28">
        <f>D28*'내역서(건축)'!AT26</f>
        <v>0</v>
      </c>
      <c r="AU28">
        <f>D28*'내역서(건축)'!AU26</f>
        <v>0</v>
      </c>
      <c r="AV28">
        <f>D28*'내역서(건축)'!AV26</f>
        <v>0</v>
      </c>
    </row>
    <row r="29" spans="1:51" ht="20.100000000000001" customHeight="1" x14ac:dyDescent="0.3">
      <c r="A29" s="25" t="s">
        <v>79</v>
      </c>
      <c r="B29" s="25" t="s">
        <v>0</v>
      </c>
      <c r="C29" s="24" t="s">
        <v>69</v>
      </c>
      <c r="D29" s="22">
        <v>1</v>
      </c>
      <c r="E29" s="18"/>
      <c r="F29" s="18"/>
      <c r="G29" s="18"/>
      <c r="H29" s="18"/>
      <c r="I29" s="18"/>
      <c r="J29" s="18"/>
      <c r="K29" s="18"/>
      <c r="L29" s="18"/>
      <c r="M29" s="21"/>
      <c r="Q29">
        <v>1</v>
      </c>
      <c r="R29">
        <f>D29*'내역서(건축)'!R48</f>
        <v>0</v>
      </c>
      <c r="S29">
        <f>D29*'내역서(건축)'!S48</f>
        <v>0</v>
      </c>
      <c r="T29">
        <f>D29*'내역서(건축)'!T48</f>
        <v>0</v>
      </c>
      <c r="U29">
        <f>D29*'내역서(건축)'!U48</f>
        <v>0</v>
      </c>
      <c r="V29">
        <f>D29*'내역서(건축)'!V48</f>
        <v>0</v>
      </c>
      <c r="W29">
        <f>D29*'내역서(건축)'!W48</f>
        <v>0</v>
      </c>
      <c r="X29">
        <f>D29*'내역서(건축)'!X48</f>
        <v>0</v>
      </c>
      <c r="Y29">
        <f>D29*'내역서(건축)'!Y48</f>
        <v>0</v>
      </c>
      <c r="Z29">
        <f>D29*'내역서(건축)'!Z48</f>
        <v>0</v>
      </c>
      <c r="AA29">
        <f>D29*'내역서(건축)'!AA48</f>
        <v>0</v>
      </c>
      <c r="AB29">
        <f>D29*'내역서(건축)'!AB48</f>
        <v>0</v>
      </c>
      <c r="AC29">
        <f>D29*'내역서(건축)'!AC48</f>
        <v>0</v>
      </c>
      <c r="AD29">
        <f>D29*'내역서(건축)'!AD48</f>
        <v>0</v>
      </c>
      <c r="AE29">
        <f>D29*'내역서(건축)'!AE48</f>
        <v>0</v>
      </c>
      <c r="AF29">
        <f>D29*'내역서(건축)'!AF48</f>
        <v>0</v>
      </c>
      <c r="AG29">
        <f>D29*'내역서(건축)'!AG48</f>
        <v>0</v>
      </c>
      <c r="AH29">
        <f>D29*'내역서(건축)'!AH48</f>
        <v>0</v>
      </c>
      <c r="AI29">
        <f>D29*'내역서(건축)'!AI48</f>
        <v>0</v>
      </c>
      <c r="AJ29">
        <f>D29*'내역서(건축)'!AJ48</f>
        <v>0</v>
      </c>
      <c r="AK29">
        <f>D29*'내역서(건축)'!AK48</f>
        <v>0</v>
      </c>
      <c r="AL29">
        <f>D29*'내역서(건축)'!AL48</f>
        <v>0</v>
      </c>
      <c r="AM29">
        <f>D29*'내역서(건축)'!AM48</f>
        <v>0</v>
      </c>
      <c r="AN29">
        <f>D29*'내역서(건축)'!AN48</f>
        <v>0</v>
      </c>
      <c r="AO29">
        <f>D29*'내역서(건축)'!AO48</f>
        <v>0</v>
      </c>
      <c r="AP29">
        <f>D29*'내역서(건축)'!AP48</f>
        <v>0</v>
      </c>
      <c r="AQ29">
        <f>D29*'내역서(건축)'!AQ48</f>
        <v>0</v>
      </c>
      <c r="AR29">
        <f>D29*'내역서(건축)'!AR48</f>
        <v>0</v>
      </c>
      <c r="AS29">
        <f>D29*'내역서(건축)'!AS48</f>
        <v>0</v>
      </c>
      <c r="AT29">
        <f>D29*'내역서(건축)'!AT48</f>
        <v>0</v>
      </c>
      <c r="AU29">
        <f>D29*'내역서(건축)'!AU48</f>
        <v>0</v>
      </c>
      <c r="AV29">
        <f>D29*'내역서(건축)'!AV48</f>
        <v>0</v>
      </c>
    </row>
    <row r="30" spans="1:51" ht="20.100000000000001" customHeight="1" x14ac:dyDescent="0.3">
      <c r="A30" s="25" t="s">
        <v>78</v>
      </c>
      <c r="B30" s="23"/>
      <c r="C30" s="24" t="s">
        <v>69</v>
      </c>
      <c r="D30" s="22">
        <v>1</v>
      </c>
      <c r="E30" s="18"/>
      <c r="F30" s="18"/>
      <c r="G30" s="18"/>
      <c r="H30" s="18"/>
      <c r="I30" s="18"/>
      <c r="J30" s="18"/>
      <c r="K30" s="18"/>
      <c r="L30" s="18"/>
      <c r="M30" s="21"/>
      <c r="Q30">
        <v>1</v>
      </c>
      <c r="R30">
        <f>D30*'내역서(건축)'!R70</f>
        <v>0</v>
      </c>
      <c r="S30">
        <f>D30*'내역서(건축)'!S70</f>
        <v>0</v>
      </c>
      <c r="T30">
        <f>D30*'내역서(건축)'!T70</f>
        <v>0</v>
      </c>
      <c r="U30">
        <f>D30*'내역서(건축)'!U70</f>
        <v>0</v>
      </c>
      <c r="V30">
        <f>D30*'내역서(건축)'!V70</f>
        <v>0</v>
      </c>
      <c r="W30">
        <f>D30*'내역서(건축)'!W70</f>
        <v>0</v>
      </c>
      <c r="X30">
        <f>D30*'내역서(건축)'!X70</f>
        <v>0</v>
      </c>
      <c r="Y30">
        <f>D30*'내역서(건축)'!Y70</f>
        <v>0</v>
      </c>
      <c r="Z30">
        <f>D30*'내역서(건축)'!Z70</f>
        <v>0</v>
      </c>
      <c r="AA30">
        <f>D30*'내역서(건축)'!AA70</f>
        <v>0</v>
      </c>
      <c r="AB30">
        <f>D30*'내역서(건축)'!AB70</f>
        <v>0</v>
      </c>
      <c r="AC30">
        <f>D30*'내역서(건축)'!AC70</f>
        <v>0</v>
      </c>
      <c r="AD30">
        <f>D30*'내역서(건축)'!AD70</f>
        <v>0</v>
      </c>
      <c r="AE30">
        <f>D30*'내역서(건축)'!AE70</f>
        <v>0</v>
      </c>
      <c r="AF30">
        <f>D30*'내역서(건축)'!AF70</f>
        <v>0</v>
      </c>
      <c r="AG30">
        <f>D30*'내역서(건축)'!AG70</f>
        <v>0</v>
      </c>
      <c r="AH30">
        <f>D30*'내역서(건축)'!AH70</f>
        <v>0</v>
      </c>
      <c r="AI30">
        <f>D30*'내역서(건축)'!AI70</f>
        <v>0</v>
      </c>
      <c r="AJ30">
        <f>D30*'내역서(건축)'!AJ70</f>
        <v>0</v>
      </c>
      <c r="AK30">
        <f>D30*'내역서(건축)'!AK70</f>
        <v>0</v>
      </c>
      <c r="AL30">
        <f>D30*'내역서(건축)'!AL70</f>
        <v>0</v>
      </c>
      <c r="AM30">
        <f>D30*'내역서(건축)'!AM70</f>
        <v>0</v>
      </c>
      <c r="AN30">
        <f>D30*'내역서(건축)'!AN70</f>
        <v>0</v>
      </c>
      <c r="AO30">
        <f>D30*'내역서(건축)'!AO70</f>
        <v>0</v>
      </c>
      <c r="AP30">
        <f>D30*'내역서(건축)'!AP70</f>
        <v>0</v>
      </c>
      <c r="AQ30">
        <f>D30*'내역서(건축)'!AQ70</f>
        <v>0</v>
      </c>
      <c r="AR30">
        <f>D30*'내역서(건축)'!AR70</f>
        <v>0</v>
      </c>
      <c r="AS30">
        <f>D30*'내역서(건축)'!AS70</f>
        <v>0</v>
      </c>
      <c r="AT30">
        <f>D30*'내역서(건축)'!AT70</f>
        <v>0</v>
      </c>
      <c r="AU30">
        <f>D30*'내역서(건축)'!AU70</f>
        <v>0</v>
      </c>
      <c r="AV30">
        <f>D30*'내역서(건축)'!AV70</f>
        <v>0</v>
      </c>
    </row>
    <row r="31" spans="1:51" ht="20.100000000000001" customHeight="1" x14ac:dyDescent="0.3">
      <c r="A31" s="25" t="s">
        <v>77</v>
      </c>
      <c r="B31" s="23"/>
      <c r="C31" s="24" t="s">
        <v>69</v>
      </c>
      <c r="D31" s="22">
        <v>1</v>
      </c>
      <c r="E31" s="18"/>
      <c r="F31" s="18"/>
      <c r="G31" s="18"/>
      <c r="H31" s="18"/>
      <c r="I31" s="18"/>
      <c r="J31" s="18"/>
      <c r="K31" s="18"/>
      <c r="L31" s="18"/>
      <c r="M31" s="21"/>
      <c r="Q31">
        <v>1</v>
      </c>
      <c r="R31">
        <f>D31*'내역서(건축)'!R92</f>
        <v>0</v>
      </c>
      <c r="S31">
        <f>D31*'내역서(건축)'!S92</f>
        <v>0</v>
      </c>
      <c r="T31">
        <f>D31*'내역서(건축)'!T92</f>
        <v>0</v>
      </c>
      <c r="U31">
        <f>D31*'내역서(건축)'!U92</f>
        <v>0</v>
      </c>
      <c r="V31">
        <f>D31*'내역서(건축)'!V92</f>
        <v>0</v>
      </c>
      <c r="W31">
        <f>D31*'내역서(건축)'!W92</f>
        <v>0</v>
      </c>
      <c r="X31">
        <f>D31*'내역서(건축)'!X92</f>
        <v>0</v>
      </c>
      <c r="Y31">
        <f>D31*'내역서(건축)'!Y92</f>
        <v>0</v>
      </c>
      <c r="Z31">
        <f>D31*'내역서(건축)'!Z92</f>
        <v>0</v>
      </c>
      <c r="AA31">
        <f>D31*'내역서(건축)'!AA92</f>
        <v>0</v>
      </c>
      <c r="AB31">
        <f>D31*'내역서(건축)'!AB92</f>
        <v>0</v>
      </c>
      <c r="AC31">
        <f>D31*'내역서(건축)'!AC92</f>
        <v>0</v>
      </c>
      <c r="AD31">
        <f>D31*'내역서(건축)'!AD92</f>
        <v>0</v>
      </c>
      <c r="AE31">
        <f>D31*'내역서(건축)'!AE92</f>
        <v>0</v>
      </c>
      <c r="AF31">
        <f>D31*'내역서(건축)'!AF92</f>
        <v>0</v>
      </c>
      <c r="AG31">
        <f>D31*'내역서(건축)'!AG92</f>
        <v>0</v>
      </c>
      <c r="AH31">
        <f>D31*'내역서(건축)'!AH92</f>
        <v>0</v>
      </c>
      <c r="AI31">
        <f>D31*'내역서(건축)'!AI92</f>
        <v>0</v>
      </c>
      <c r="AJ31">
        <f>D31*'내역서(건축)'!AJ92</f>
        <v>0</v>
      </c>
      <c r="AK31">
        <f>D31*'내역서(건축)'!AK92</f>
        <v>0</v>
      </c>
      <c r="AL31">
        <f>D31*'내역서(건축)'!AL92</f>
        <v>0</v>
      </c>
      <c r="AM31">
        <f>D31*'내역서(건축)'!AM92</f>
        <v>0</v>
      </c>
      <c r="AN31">
        <f>D31*'내역서(건축)'!AN92</f>
        <v>0</v>
      </c>
      <c r="AO31">
        <f>D31*'내역서(건축)'!AO92</f>
        <v>0</v>
      </c>
      <c r="AP31">
        <f>D31*'내역서(건축)'!AP92</f>
        <v>0</v>
      </c>
      <c r="AQ31">
        <f>D31*'내역서(건축)'!AQ92</f>
        <v>0</v>
      </c>
      <c r="AR31">
        <f>D31*'내역서(건축)'!AR92</f>
        <v>0</v>
      </c>
      <c r="AS31">
        <f>D31*'내역서(건축)'!AS92</f>
        <v>0</v>
      </c>
      <c r="AT31">
        <f>D31*'내역서(건축)'!AT92</f>
        <v>0</v>
      </c>
      <c r="AU31">
        <f>D31*'내역서(건축)'!AU92</f>
        <v>0</v>
      </c>
      <c r="AV31">
        <f>D31*'내역서(건축)'!AV92</f>
        <v>0</v>
      </c>
    </row>
    <row r="32" spans="1:51" ht="20.100000000000001" customHeight="1" x14ac:dyDescent="0.3">
      <c r="A32" s="25" t="s">
        <v>76</v>
      </c>
      <c r="B32" s="23"/>
      <c r="C32" s="24" t="s">
        <v>69</v>
      </c>
      <c r="D32" s="22">
        <v>1</v>
      </c>
      <c r="E32" s="18"/>
      <c r="F32" s="18"/>
      <c r="G32" s="18"/>
      <c r="H32" s="18"/>
      <c r="I32" s="18"/>
      <c r="J32" s="18"/>
      <c r="K32" s="18"/>
      <c r="L32" s="18"/>
      <c r="M32" s="21"/>
      <c r="Q32">
        <v>1</v>
      </c>
      <c r="R32">
        <f>D32*'내역서(건축)'!R114</f>
        <v>0</v>
      </c>
      <c r="S32">
        <f>D32*'내역서(건축)'!S114</f>
        <v>0</v>
      </c>
      <c r="T32">
        <f>D32*'내역서(건축)'!T114</f>
        <v>0</v>
      </c>
      <c r="U32">
        <f>D32*'내역서(건축)'!U114</f>
        <v>0</v>
      </c>
      <c r="V32">
        <f>D32*'내역서(건축)'!V114</f>
        <v>0</v>
      </c>
      <c r="W32">
        <f>D32*'내역서(건축)'!W114</f>
        <v>0</v>
      </c>
      <c r="X32">
        <f>D32*'내역서(건축)'!X114</f>
        <v>0</v>
      </c>
      <c r="Y32">
        <f>D32*'내역서(건축)'!Y114</f>
        <v>0</v>
      </c>
      <c r="Z32">
        <f>D32*'내역서(건축)'!Z114</f>
        <v>0</v>
      </c>
      <c r="AA32">
        <f>D32*'내역서(건축)'!AA114</f>
        <v>0</v>
      </c>
      <c r="AB32">
        <f>D32*'내역서(건축)'!AB114</f>
        <v>0</v>
      </c>
      <c r="AC32">
        <f>D32*'내역서(건축)'!AC114</f>
        <v>0</v>
      </c>
      <c r="AD32">
        <f>D32*'내역서(건축)'!AD114</f>
        <v>0</v>
      </c>
      <c r="AE32">
        <f>D32*'내역서(건축)'!AE114</f>
        <v>0</v>
      </c>
      <c r="AF32">
        <f>D32*'내역서(건축)'!AF114</f>
        <v>0</v>
      </c>
      <c r="AG32">
        <f>D32*'내역서(건축)'!AG114</f>
        <v>0</v>
      </c>
      <c r="AH32">
        <f>D32*'내역서(건축)'!AH114</f>
        <v>0</v>
      </c>
      <c r="AI32">
        <f>D32*'내역서(건축)'!AI114</f>
        <v>0</v>
      </c>
      <c r="AJ32">
        <f>D32*'내역서(건축)'!AJ114</f>
        <v>0</v>
      </c>
      <c r="AK32">
        <f>D32*'내역서(건축)'!AK114</f>
        <v>0</v>
      </c>
      <c r="AL32">
        <f>D32*'내역서(건축)'!AL114</f>
        <v>0</v>
      </c>
      <c r="AM32">
        <f>D32*'내역서(건축)'!AM114</f>
        <v>0</v>
      </c>
      <c r="AN32">
        <f>D32*'내역서(건축)'!AN114</f>
        <v>0</v>
      </c>
      <c r="AO32">
        <f>D32*'내역서(건축)'!AO114</f>
        <v>0</v>
      </c>
      <c r="AP32">
        <f>D32*'내역서(건축)'!AP114</f>
        <v>0</v>
      </c>
      <c r="AQ32">
        <f>D32*'내역서(건축)'!AQ114</f>
        <v>0</v>
      </c>
      <c r="AR32">
        <f>D32*'내역서(건축)'!AR114</f>
        <v>0</v>
      </c>
      <c r="AS32">
        <f>D32*'내역서(건축)'!AS114</f>
        <v>0</v>
      </c>
      <c r="AT32">
        <f>D32*'내역서(건축)'!AT114</f>
        <v>0</v>
      </c>
      <c r="AU32">
        <f>D32*'내역서(건축)'!AU114</f>
        <v>0</v>
      </c>
      <c r="AV32">
        <f>D32*'내역서(건축)'!AV114</f>
        <v>0</v>
      </c>
    </row>
    <row r="33" spans="1:51" ht="20.100000000000001" customHeight="1" x14ac:dyDescent="0.3">
      <c r="A33" s="25" t="s">
        <v>75</v>
      </c>
      <c r="B33" s="23"/>
      <c r="C33" s="24" t="s">
        <v>69</v>
      </c>
      <c r="D33" s="22">
        <v>1</v>
      </c>
      <c r="E33" s="18"/>
      <c r="F33" s="18"/>
      <c r="G33" s="18"/>
      <c r="H33" s="18"/>
      <c r="I33" s="18"/>
      <c r="J33" s="18"/>
      <c r="K33" s="18"/>
      <c r="L33" s="18"/>
      <c r="M33" s="21"/>
      <c r="Q33">
        <v>1</v>
      </c>
      <c r="R33">
        <f>D33*'내역서(건축)'!R158</f>
        <v>0</v>
      </c>
      <c r="S33">
        <f>D33*'내역서(건축)'!S158</f>
        <v>0</v>
      </c>
      <c r="T33">
        <f>D33*'내역서(건축)'!T158</f>
        <v>0</v>
      </c>
      <c r="U33">
        <f>D33*'내역서(건축)'!U158</f>
        <v>0</v>
      </c>
      <c r="V33">
        <f>D33*'내역서(건축)'!V158</f>
        <v>0</v>
      </c>
      <c r="W33">
        <f>D33*'내역서(건축)'!W158</f>
        <v>0</v>
      </c>
      <c r="X33">
        <f>D33*'내역서(건축)'!X158</f>
        <v>0</v>
      </c>
      <c r="Y33">
        <f>D33*'내역서(건축)'!Y158</f>
        <v>0</v>
      </c>
      <c r="Z33">
        <f>D33*'내역서(건축)'!Z158</f>
        <v>0</v>
      </c>
      <c r="AA33">
        <f>D33*'내역서(건축)'!AA158</f>
        <v>0</v>
      </c>
      <c r="AB33">
        <f>D33*'내역서(건축)'!AB158</f>
        <v>0</v>
      </c>
      <c r="AC33">
        <f>D33*'내역서(건축)'!AC158</f>
        <v>0</v>
      </c>
      <c r="AD33">
        <f>D33*'내역서(건축)'!AD158</f>
        <v>0</v>
      </c>
      <c r="AE33">
        <f>D33*'내역서(건축)'!AE158</f>
        <v>0</v>
      </c>
      <c r="AF33">
        <f>D33*'내역서(건축)'!AF158</f>
        <v>0</v>
      </c>
      <c r="AG33">
        <f>D33*'내역서(건축)'!AG158</f>
        <v>0</v>
      </c>
      <c r="AH33">
        <f>D33*'내역서(건축)'!AH158</f>
        <v>0</v>
      </c>
      <c r="AI33">
        <f>D33*'내역서(건축)'!AI158</f>
        <v>0</v>
      </c>
      <c r="AJ33">
        <f>D33*'내역서(건축)'!AJ158</f>
        <v>0</v>
      </c>
      <c r="AK33">
        <f>D33*'내역서(건축)'!AK158</f>
        <v>0</v>
      </c>
      <c r="AL33">
        <f>D33*'내역서(건축)'!AL158</f>
        <v>0</v>
      </c>
      <c r="AM33">
        <f>D33*'내역서(건축)'!AM158</f>
        <v>0</v>
      </c>
      <c r="AN33">
        <f>D33*'내역서(건축)'!AN158</f>
        <v>0</v>
      </c>
      <c r="AO33">
        <f>D33*'내역서(건축)'!AO158</f>
        <v>0</v>
      </c>
      <c r="AP33">
        <f>D33*'내역서(건축)'!AP158</f>
        <v>0</v>
      </c>
      <c r="AQ33">
        <f>D33*'내역서(건축)'!AQ158</f>
        <v>0</v>
      </c>
      <c r="AR33">
        <f>D33*'내역서(건축)'!AR158</f>
        <v>0</v>
      </c>
      <c r="AS33">
        <f>D33*'내역서(건축)'!AS158</f>
        <v>0</v>
      </c>
      <c r="AT33">
        <f>D33*'내역서(건축)'!AT158</f>
        <v>0</v>
      </c>
      <c r="AU33">
        <f>D33*'내역서(건축)'!AU158</f>
        <v>0</v>
      </c>
      <c r="AV33">
        <f>D33*'내역서(건축)'!AV158</f>
        <v>0</v>
      </c>
    </row>
    <row r="34" spans="1:51" ht="20.100000000000001" customHeight="1" x14ac:dyDescent="0.3">
      <c r="A34" s="25" t="s">
        <v>74</v>
      </c>
      <c r="B34" s="25" t="s">
        <v>0</v>
      </c>
      <c r="C34" s="24" t="s">
        <v>69</v>
      </c>
      <c r="D34" s="22">
        <v>1</v>
      </c>
      <c r="E34" s="18"/>
      <c r="F34" s="18"/>
      <c r="G34" s="18"/>
      <c r="H34" s="18"/>
      <c r="I34" s="18"/>
      <c r="J34" s="18"/>
      <c r="K34" s="18"/>
      <c r="L34" s="18"/>
      <c r="M34" s="21"/>
      <c r="Q34">
        <v>1</v>
      </c>
      <c r="R34">
        <f>D34*'내역서(건축)'!R180</f>
        <v>0</v>
      </c>
      <c r="S34">
        <f>D34*'내역서(건축)'!S180</f>
        <v>0</v>
      </c>
      <c r="T34">
        <f>D34*'내역서(건축)'!T180</f>
        <v>0</v>
      </c>
      <c r="U34">
        <f>D34*'내역서(건축)'!U180</f>
        <v>0</v>
      </c>
      <c r="V34">
        <f>D34*'내역서(건축)'!V180</f>
        <v>0</v>
      </c>
      <c r="W34">
        <f>D34*'내역서(건축)'!W180</f>
        <v>0</v>
      </c>
      <c r="X34">
        <f>D34*'내역서(건축)'!X180</f>
        <v>0</v>
      </c>
      <c r="Y34">
        <f>D34*'내역서(건축)'!Y180</f>
        <v>0</v>
      </c>
      <c r="Z34">
        <f>D34*'내역서(건축)'!Z180</f>
        <v>0</v>
      </c>
      <c r="AA34">
        <f>D34*'내역서(건축)'!AA180</f>
        <v>0</v>
      </c>
      <c r="AB34">
        <f>D34*'내역서(건축)'!AB180</f>
        <v>0</v>
      </c>
      <c r="AC34">
        <f>D34*'내역서(건축)'!AC180</f>
        <v>0</v>
      </c>
      <c r="AD34">
        <f>D34*'내역서(건축)'!AD180</f>
        <v>0</v>
      </c>
      <c r="AE34">
        <f>D34*'내역서(건축)'!AE180</f>
        <v>0</v>
      </c>
      <c r="AF34">
        <f>D34*'내역서(건축)'!AF180</f>
        <v>0</v>
      </c>
      <c r="AG34">
        <f>D34*'내역서(건축)'!AG180</f>
        <v>0</v>
      </c>
      <c r="AH34">
        <f>D34*'내역서(건축)'!AH180</f>
        <v>0</v>
      </c>
      <c r="AI34">
        <f>D34*'내역서(건축)'!AI180</f>
        <v>0</v>
      </c>
      <c r="AJ34">
        <f>D34*'내역서(건축)'!AJ180</f>
        <v>0</v>
      </c>
      <c r="AK34">
        <f>D34*'내역서(건축)'!AK180</f>
        <v>0</v>
      </c>
      <c r="AL34">
        <f>D34*'내역서(건축)'!AL180</f>
        <v>0</v>
      </c>
      <c r="AM34">
        <f>D34*'내역서(건축)'!AM180</f>
        <v>0</v>
      </c>
      <c r="AN34">
        <f>D34*'내역서(건축)'!AN180</f>
        <v>0</v>
      </c>
      <c r="AO34">
        <f>D34*'내역서(건축)'!AO180</f>
        <v>0</v>
      </c>
      <c r="AP34">
        <f>D34*'내역서(건축)'!AP180</f>
        <v>0</v>
      </c>
      <c r="AQ34">
        <f>D34*'내역서(건축)'!AQ180</f>
        <v>0</v>
      </c>
      <c r="AR34">
        <f>D34*'내역서(건축)'!AR180</f>
        <v>0</v>
      </c>
      <c r="AS34">
        <f>D34*'내역서(건축)'!AS180</f>
        <v>0</v>
      </c>
      <c r="AT34">
        <f>D34*'내역서(건축)'!AT180</f>
        <v>0</v>
      </c>
      <c r="AU34">
        <f>D34*'내역서(건축)'!AU180</f>
        <v>0</v>
      </c>
      <c r="AV34">
        <f>D34*'내역서(건축)'!AV180</f>
        <v>0</v>
      </c>
    </row>
    <row r="35" spans="1:51" ht="20.100000000000001" customHeight="1" x14ac:dyDescent="0.3">
      <c r="A35" s="25" t="s">
        <v>73</v>
      </c>
      <c r="B35" s="23"/>
      <c r="C35" s="24" t="s">
        <v>69</v>
      </c>
      <c r="D35" s="22">
        <v>1</v>
      </c>
      <c r="E35" s="18"/>
      <c r="F35" s="18"/>
      <c r="G35" s="18"/>
      <c r="H35" s="18"/>
      <c r="I35" s="18"/>
      <c r="J35" s="18"/>
      <c r="K35" s="18"/>
      <c r="L35" s="18"/>
      <c r="M35" s="21"/>
      <c r="Q35">
        <v>1</v>
      </c>
      <c r="R35">
        <f>D35*'내역서(건축)'!R202</f>
        <v>0</v>
      </c>
      <c r="S35">
        <f>D35*'내역서(건축)'!S202</f>
        <v>0</v>
      </c>
      <c r="T35">
        <f>D35*'내역서(건축)'!T202</f>
        <v>0</v>
      </c>
      <c r="U35">
        <f>D35*'내역서(건축)'!U202</f>
        <v>0</v>
      </c>
      <c r="V35">
        <f>D35*'내역서(건축)'!V202</f>
        <v>0</v>
      </c>
      <c r="W35">
        <f>D35*'내역서(건축)'!W202</f>
        <v>0</v>
      </c>
      <c r="X35">
        <f>D35*'내역서(건축)'!X202</f>
        <v>0</v>
      </c>
      <c r="Y35">
        <f>D35*'내역서(건축)'!Y202</f>
        <v>0</v>
      </c>
      <c r="Z35">
        <f>D35*'내역서(건축)'!Z202</f>
        <v>0</v>
      </c>
      <c r="AA35">
        <f>D35*'내역서(건축)'!AA202</f>
        <v>0</v>
      </c>
      <c r="AB35">
        <f>D35*'내역서(건축)'!AB202</f>
        <v>0</v>
      </c>
      <c r="AC35">
        <f>D35*'내역서(건축)'!AC202</f>
        <v>0</v>
      </c>
      <c r="AD35">
        <f>D35*'내역서(건축)'!AD202</f>
        <v>0</v>
      </c>
      <c r="AE35">
        <f>D35*'내역서(건축)'!AE202</f>
        <v>0</v>
      </c>
      <c r="AF35">
        <f>D35*'내역서(건축)'!AF202</f>
        <v>0</v>
      </c>
      <c r="AG35">
        <f>D35*'내역서(건축)'!AG202</f>
        <v>0</v>
      </c>
      <c r="AH35">
        <f>D35*'내역서(건축)'!AH202</f>
        <v>0</v>
      </c>
      <c r="AI35">
        <f>D35*'내역서(건축)'!AI202</f>
        <v>0</v>
      </c>
      <c r="AJ35">
        <f>D35*'내역서(건축)'!AJ202</f>
        <v>0</v>
      </c>
      <c r="AK35">
        <f>D35*'내역서(건축)'!AK202</f>
        <v>0</v>
      </c>
      <c r="AL35">
        <f>D35*'내역서(건축)'!AL202</f>
        <v>0</v>
      </c>
      <c r="AM35">
        <f>D35*'내역서(건축)'!AM202</f>
        <v>0</v>
      </c>
      <c r="AN35">
        <f>D35*'내역서(건축)'!AN202</f>
        <v>0</v>
      </c>
      <c r="AO35">
        <f>D35*'내역서(건축)'!AO202</f>
        <v>0</v>
      </c>
      <c r="AP35">
        <f>D35*'내역서(건축)'!AP202</f>
        <v>0</v>
      </c>
      <c r="AQ35">
        <f>D35*'내역서(건축)'!AQ202</f>
        <v>0</v>
      </c>
      <c r="AR35">
        <f>D35*'내역서(건축)'!AR202</f>
        <v>0</v>
      </c>
      <c r="AS35">
        <f>D35*'내역서(건축)'!AS202</f>
        <v>0</v>
      </c>
      <c r="AT35">
        <f>D35*'내역서(건축)'!AT202</f>
        <v>0</v>
      </c>
      <c r="AU35">
        <f>D35*'내역서(건축)'!AU202</f>
        <v>0</v>
      </c>
      <c r="AV35">
        <f>D35*'내역서(건축)'!AV202</f>
        <v>0</v>
      </c>
    </row>
    <row r="36" spans="1:51" ht="20.100000000000001" customHeight="1" x14ac:dyDescent="0.3">
      <c r="A36" s="25" t="s">
        <v>72</v>
      </c>
      <c r="B36" s="23"/>
      <c r="C36" s="24" t="s">
        <v>69</v>
      </c>
      <c r="D36" s="22">
        <v>1</v>
      </c>
      <c r="E36" s="18"/>
      <c r="F36" s="18"/>
      <c r="G36" s="18"/>
      <c r="H36" s="18"/>
      <c r="I36" s="18"/>
      <c r="J36" s="18"/>
      <c r="K36" s="18"/>
      <c r="L36" s="18"/>
      <c r="M36" s="21"/>
      <c r="Q36">
        <v>1</v>
      </c>
      <c r="R36">
        <f>D36*'내역서(건축)'!R224</f>
        <v>0</v>
      </c>
      <c r="S36">
        <f>D36*'내역서(건축)'!S224</f>
        <v>0</v>
      </c>
      <c r="T36">
        <f>D36*'내역서(건축)'!T224</f>
        <v>0</v>
      </c>
      <c r="U36">
        <f>D36*'내역서(건축)'!U224</f>
        <v>0</v>
      </c>
      <c r="V36">
        <f>D36*'내역서(건축)'!V224</f>
        <v>0</v>
      </c>
      <c r="W36">
        <f>D36*'내역서(건축)'!W224</f>
        <v>0</v>
      </c>
      <c r="X36">
        <f>D36*'내역서(건축)'!X224</f>
        <v>0</v>
      </c>
      <c r="Y36">
        <f>D36*'내역서(건축)'!Y224</f>
        <v>0</v>
      </c>
      <c r="Z36">
        <f>D36*'내역서(건축)'!Z224</f>
        <v>0</v>
      </c>
      <c r="AA36">
        <f>D36*'내역서(건축)'!AA224</f>
        <v>0</v>
      </c>
      <c r="AB36">
        <f>D36*'내역서(건축)'!AB224</f>
        <v>0</v>
      </c>
      <c r="AC36">
        <f>D36*'내역서(건축)'!AC224</f>
        <v>0</v>
      </c>
      <c r="AD36">
        <f>D36*'내역서(건축)'!AD224</f>
        <v>0</v>
      </c>
      <c r="AE36">
        <f>D36*'내역서(건축)'!AE224</f>
        <v>0</v>
      </c>
      <c r="AF36">
        <f>D36*'내역서(건축)'!AF224</f>
        <v>0</v>
      </c>
      <c r="AG36">
        <f>D36*'내역서(건축)'!AG224</f>
        <v>0</v>
      </c>
      <c r="AH36">
        <f>D36*'내역서(건축)'!AH224</f>
        <v>0</v>
      </c>
      <c r="AI36">
        <f>D36*'내역서(건축)'!AI224</f>
        <v>0</v>
      </c>
      <c r="AJ36">
        <f>D36*'내역서(건축)'!AJ224</f>
        <v>0</v>
      </c>
      <c r="AK36">
        <f>D36*'내역서(건축)'!AK224</f>
        <v>0</v>
      </c>
      <c r="AL36">
        <f>D36*'내역서(건축)'!AL224</f>
        <v>0</v>
      </c>
      <c r="AM36">
        <f>D36*'내역서(건축)'!AM224</f>
        <v>0</v>
      </c>
      <c r="AN36">
        <f>D36*'내역서(건축)'!AN224</f>
        <v>0</v>
      </c>
      <c r="AO36">
        <f>D36*'내역서(건축)'!AO224</f>
        <v>0</v>
      </c>
      <c r="AP36">
        <f>D36*'내역서(건축)'!AP224</f>
        <v>0</v>
      </c>
      <c r="AQ36">
        <f>D36*'내역서(건축)'!AQ224</f>
        <v>0</v>
      </c>
      <c r="AR36">
        <f>D36*'내역서(건축)'!AR224</f>
        <v>0</v>
      </c>
      <c r="AS36">
        <f>D36*'내역서(건축)'!AS224</f>
        <v>0</v>
      </c>
      <c r="AT36">
        <f>D36*'내역서(건축)'!AT224</f>
        <v>0</v>
      </c>
      <c r="AU36">
        <f>D36*'내역서(건축)'!AU224</f>
        <v>0</v>
      </c>
      <c r="AV36">
        <f>D36*'내역서(건축)'!AV224</f>
        <v>0</v>
      </c>
    </row>
    <row r="37" spans="1:51" ht="20.100000000000001" customHeight="1" x14ac:dyDescent="0.3">
      <c r="A37" s="25" t="s">
        <v>71</v>
      </c>
      <c r="B37" s="23"/>
      <c r="C37" s="24" t="s">
        <v>69</v>
      </c>
      <c r="D37" s="22">
        <v>1</v>
      </c>
      <c r="E37" s="18"/>
      <c r="F37" s="18"/>
      <c r="G37" s="18"/>
      <c r="H37" s="18"/>
      <c r="I37" s="18"/>
      <c r="J37" s="18"/>
      <c r="K37" s="18"/>
      <c r="L37" s="18"/>
      <c r="M37" s="24"/>
      <c r="R37">
        <f>D37*'내역서(건축)'!R246</f>
        <v>0</v>
      </c>
      <c r="S37">
        <f>D37*'내역서(건축)'!S246</f>
        <v>0</v>
      </c>
      <c r="T37">
        <f>D37*'내역서(건축)'!T246</f>
        <v>0</v>
      </c>
      <c r="U37">
        <f>D37*'내역서(건축)'!U246</f>
        <v>0</v>
      </c>
      <c r="V37">
        <f>D37*'내역서(건축)'!V246</f>
        <v>0</v>
      </c>
      <c r="W37">
        <f>D37*'내역서(건축)'!W246</f>
        <v>0</v>
      </c>
      <c r="X37">
        <f>D37*'내역서(건축)'!X246</f>
        <v>0</v>
      </c>
      <c r="Y37">
        <f>D37*'내역서(건축)'!Y246</f>
        <v>0</v>
      </c>
      <c r="Z37">
        <f>D37*'내역서(건축)'!Z246</f>
        <v>0</v>
      </c>
      <c r="AA37">
        <f>D37*'내역서(건축)'!AA246</f>
        <v>0</v>
      </c>
      <c r="AB37">
        <f>D37*'내역서(건축)'!AB246</f>
        <v>0</v>
      </c>
      <c r="AC37">
        <f>D37*'내역서(건축)'!AC246</f>
        <v>0</v>
      </c>
      <c r="AD37">
        <f>D37*'내역서(건축)'!AD246</f>
        <v>0</v>
      </c>
      <c r="AE37">
        <f>D37*'내역서(건축)'!AE246</f>
        <v>0</v>
      </c>
      <c r="AF37">
        <f>D37*'내역서(건축)'!AF246</f>
        <v>0</v>
      </c>
      <c r="AG37">
        <f>D37*'내역서(건축)'!AG246</f>
        <v>0</v>
      </c>
      <c r="AH37">
        <f>D37*'내역서(건축)'!AH246</f>
        <v>0</v>
      </c>
      <c r="AI37">
        <f>D37*'내역서(건축)'!AI246</f>
        <v>0</v>
      </c>
      <c r="AJ37">
        <f>D37*'내역서(건축)'!AJ246</f>
        <v>0</v>
      </c>
      <c r="AK37">
        <f>D37*'내역서(건축)'!AK246</f>
        <v>0</v>
      </c>
      <c r="AL37">
        <f>D37*'내역서(건축)'!AL246</f>
        <v>0</v>
      </c>
      <c r="AM37">
        <f>D37*'내역서(건축)'!AM246</f>
        <v>0</v>
      </c>
      <c r="AN37">
        <f>D37*'내역서(건축)'!AN246</f>
        <v>0</v>
      </c>
      <c r="AO37">
        <f>D37*'내역서(건축)'!AO246</f>
        <v>0</v>
      </c>
      <c r="AP37">
        <f>D37*'내역서(건축)'!AP246</f>
        <v>0</v>
      </c>
      <c r="AQ37">
        <f>D37*'내역서(건축)'!AQ246</f>
        <v>0</v>
      </c>
      <c r="AR37">
        <f>D37*'내역서(건축)'!AR246</f>
        <v>0</v>
      </c>
      <c r="AS37">
        <f>D37*'내역서(건축)'!AS246</f>
        <v>0</v>
      </c>
      <c r="AT37">
        <f>D37*'내역서(건축)'!AT246</f>
        <v>0</v>
      </c>
      <c r="AU37">
        <f>D37*'내역서(건축)'!AU246</f>
        <v>0</v>
      </c>
      <c r="AV37">
        <f>D37*'내역서(건축)'!AV246</f>
        <v>0</v>
      </c>
    </row>
    <row r="38" spans="1:51" ht="20.100000000000001" customHeight="1" x14ac:dyDescent="0.3">
      <c r="A38" s="25" t="s">
        <v>70</v>
      </c>
      <c r="B38" s="23"/>
      <c r="C38" s="24" t="s">
        <v>69</v>
      </c>
      <c r="D38" s="22">
        <v>1</v>
      </c>
      <c r="E38" s="18"/>
      <c r="F38" s="18"/>
      <c r="G38" s="18"/>
      <c r="H38" s="18"/>
      <c r="I38" s="18"/>
      <c r="J38" s="18"/>
      <c r="K38" s="18"/>
      <c r="L38" s="18"/>
      <c r="M38" s="21"/>
      <c r="Q38">
        <v>1</v>
      </c>
      <c r="R38">
        <f>D38*'내역서(건축)'!R268</f>
        <v>0</v>
      </c>
      <c r="S38">
        <f>D38*'내역서(건축)'!S268</f>
        <v>0</v>
      </c>
      <c r="T38">
        <f>D38*'내역서(건축)'!T268</f>
        <v>0</v>
      </c>
      <c r="U38">
        <f>D38*'내역서(건축)'!U268</f>
        <v>0</v>
      </c>
      <c r="V38">
        <f>D38*'내역서(건축)'!V268</f>
        <v>0</v>
      </c>
      <c r="W38">
        <f>D38*'내역서(건축)'!W268</f>
        <v>0</v>
      </c>
      <c r="X38">
        <f>D38*'내역서(건축)'!X268</f>
        <v>0</v>
      </c>
      <c r="Y38">
        <f>D38*'내역서(건축)'!Y268</f>
        <v>0</v>
      </c>
      <c r="Z38">
        <f>D38*'내역서(건축)'!Z268</f>
        <v>0</v>
      </c>
      <c r="AA38">
        <f>D38*'내역서(건축)'!AA268</f>
        <v>0</v>
      </c>
      <c r="AB38">
        <f>D38*'내역서(건축)'!AB268</f>
        <v>0</v>
      </c>
      <c r="AC38">
        <f>D38*'내역서(건축)'!AC268</f>
        <v>0</v>
      </c>
      <c r="AD38">
        <f>D38*'내역서(건축)'!AD268</f>
        <v>0</v>
      </c>
      <c r="AE38">
        <f>D38*'내역서(건축)'!AE268</f>
        <v>0</v>
      </c>
      <c r="AF38">
        <f>D38*'내역서(건축)'!AF268</f>
        <v>0</v>
      </c>
      <c r="AG38">
        <f>D38*'내역서(건축)'!AG268</f>
        <v>0</v>
      </c>
      <c r="AH38">
        <f>D38*'내역서(건축)'!AH268</f>
        <v>0</v>
      </c>
      <c r="AI38">
        <f>D38*'내역서(건축)'!AI268</f>
        <v>0</v>
      </c>
      <c r="AJ38">
        <f>D38*'내역서(건축)'!AJ268</f>
        <v>0</v>
      </c>
      <c r="AK38">
        <f>D38*'내역서(건축)'!AK268</f>
        <v>0</v>
      </c>
      <c r="AL38">
        <f>D38*'내역서(건축)'!AL268</f>
        <v>0</v>
      </c>
      <c r="AM38">
        <f>D38*'내역서(건축)'!AM268</f>
        <v>0</v>
      </c>
      <c r="AN38">
        <f>D38*'내역서(건축)'!AN268</f>
        <v>0</v>
      </c>
      <c r="AO38">
        <f>D38*'내역서(건축)'!AO268</f>
        <v>0</v>
      </c>
      <c r="AP38">
        <f>D38*'내역서(건축)'!AP268</f>
        <v>0</v>
      </c>
      <c r="AQ38">
        <f>D38*'내역서(건축)'!AQ268</f>
        <v>0</v>
      </c>
      <c r="AR38">
        <f>D38*'내역서(건축)'!AR268</f>
        <v>0</v>
      </c>
      <c r="AS38">
        <f>D38*'내역서(건축)'!AS268</f>
        <v>0</v>
      </c>
      <c r="AT38">
        <f>D38*'내역서(건축)'!AT268</f>
        <v>0</v>
      </c>
      <c r="AU38">
        <f>D38*'내역서(건축)'!AU268</f>
        <v>0</v>
      </c>
      <c r="AV38">
        <f>D38*'내역서(건축)'!AV268</f>
        <v>0</v>
      </c>
    </row>
    <row r="39" spans="1:51" ht="20.100000000000001" customHeight="1" x14ac:dyDescent="0.3">
      <c r="A39" s="23"/>
      <c r="B39" s="23"/>
      <c r="C39" s="21"/>
      <c r="D39" s="22"/>
      <c r="E39" s="18"/>
      <c r="F39" s="18"/>
      <c r="G39" s="18"/>
      <c r="H39" s="18"/>
      <c r="I39" s="18"/>
      <c r="J39" s="18"/>
      <c r="K39" s="18"/>
      <c r="L39" s="18"/>
      <c r="M39" s="21"/>
    </row>
    <row r="40" spans="1:51" ht="20.100000000000001" customHeight="1" x14ac:dyDescent="0.3">
      <c r="A40" s="23"/>
      <c r="B40" s="23"/>
      <c r="C40" s="21"/>
      <c r="D40" s="22"/>
      <c r="E40" s="18"/>
      <c r="F40" s="18"/>
      <c r="G40" s="18"/>
      <c r="H40" s="18"/>
      <c r="I40" s="18"/>
      <c r="J40" s="18"/>
      <c r="K40" s="18"/>
      <c r="L40" s="18"/>
      <c r="M40" s="21"/>
    </row>
    <row r="41" spans="1:51" ht="20.100000000000001" customHeight="1" x14ac:dyDescent="0.3">
      <c r="A41" s="23"/>
      <c r="B41" s="23"/>
      <c r="C41" s="21"/>
      <c r="D41" s="22"/>
      <c r="E41" s="18"/>
      <c r="F41" s="18"/>
      <c r="G41" s="18"/>
      <c r="H41" s="18"/>
      <c r="I41" s="18"/>
      <c r="J41" s="18"/>
      <c r="K41" s="18"/>
      <c r="L41" s="18"/>
      <c r="M41" s="21"/>
    </row>
    <row r="42" spans="1:51" ht="20.100000000000001" customHeight="1" x14ac:dyDescent="0.3">
      <c r="A42" s="23"/>
      <c r="B42" s="23"/>
      <c r="C42" s="21"/>
      <c r="D42" s="22"/>
      <c r="E42" s="18"/>
      <c r="F42" s="18"/>
      <c r="G42" s="18"/>
      <c r="H42" s="18"/>
      <c r="I42" s="18"/>
      <c r="J42" s="18"/>
      <c r="K42" s="18"/>
      <c r="L42" s="18"/>
      <c r="M42" s="21"/>
    </row>
    <row r="43" spans="1:51" ht="20.100000000000001" customHeight="1" x14ac:dyDescent="0.3">
      <c r="A43" s="23"/>
      <c r="B43" s="23"/>
      <c r="C43" s="21"/>
      <c r="D43" s="22"/>
      <c r="E43" s="18"/>
      <c r="F43" s="18"/>
      <c r="G43" s="18"/>
      <c r="H43" s="18"/>
      <c r="I43" s="18"/>
      <c r="J43" s="18"/>
      <c r="K43" s="18"/>
      <c r="L43" s="18"/>
      <c r="M43" s="21"/>
    </row>
    <row r="44" spans="1:51" ht="20.100000000000001" customHeight="1" x14ac:dyDescent="0.3">
      <c r="A44" s="23"/>
      <c r="B44" s="23"/>
      <c r="C44" s="21"/>
      <c r="D44" s="22"/>
      <c r="E44" s="18"/>
      <c r="F44" s="18"/>
      <c r="G44" s="18"/>
      <c r="H44" s="18"/>
      <c r="I44" s="18"/>
      <c r="J44" s="18"/>
      <c r="K44" s="18"/>
      <c r="L44" s="18"/>
      <c r="M44" s="21"/>
    </row>
    <row r="45" spans="1:51" ht="20.100000000000001" customHeight="1" x14ac:dyDescent="0.3">
      <c r="A45" s="23"/>
      <c r="B45" s="23"/>
      <c r="C45" s="21"/>
      <c r="D45" s="22"/>
      <c r="E45" s="18"/>
      <c r="F45" s="18"/>
      <c r="G45" s="18"/>
      <c r="H45" s="18"/>
      <c r="I45" s="18"/>
      <c r="J45" s="18"/>
      <c r="K45" s="18"/>
      <c r="L45" s="18"/>
      <c r="M45" s="21"/>
    </row>
    <row r="46" spans="1:51" ht="20.100000000000001" customHeight="1" x14ac:dyDescent="0.3">
      <c r="A46" s="23"/>
      <c r="B46" s="23"/>
      <c r="C46" s="21"/>
      <c r="D46" s="22"/>
      <c r="E46" s="18"/>
      <c r="F46" s="18"/>
      <c r="G46" s="18"/>
      <c r="H46" s="18"/>
      <c r="I46" s="18"/>
      <c r="J46" s="18"/>
      <c r="K46" s="18"/>
      <c r="L46" s="18"/>
      <c r="M46" s="21"/>
    </row>
    <row r="47" spans="1:51" ht="20.100000000000001" customHeight="1" x14ac:dyDescent="0.3">
      <c r="A47" s="23"/>
      <c r="B47" s="23"/>
      <c r="C47" s="21"/>
      <c r="D47" s="22"/>
      <c r="E47" s="18"/>
      <c r="F47" s="18"/>
      <c r="G47" s="18"/>
      <c r="H47" s="18"/>
      <c r="I47" s="18"/>
      <c r="J47" s="18"/>
      <c r="K47" s="18"/>
      <c r="L47" s="18"/>
      <c r="M47" s="21"/>
    </row>
    <row r="48" spans="1:51" ht="20.100000000000001" customHeight="1" x14ac:dyDescent="0.3">
      <c r="A48" s="20" t="s">
        <v>68</v>
      </c>
      <c r="B48" s="6"/>
      <c r="C48" s="17"/>
      <c r="D48" s="19"/>
      <c r="E48" s="18"/>
      <c r="F48" s="4">
        <f>SUMIF(Q28:Q38, "1", F28:F38)</f>
        <v>0</v>
      </c>
      <c r="G48" s="18"/>
      <c r="H48" s="4">
        <f>SUMIF(Q28:Q38, "1", H28:H38)</f>
        <v>0</v>
      </c>
      <c r="I48" s="18"/>
      <c r="J48" s="4">
        <f>SUMIF(Q28:Q38, "1", J28:J38)</f>
        <v>0</v>
      </c>
      <c r="K48" s="18"/>
      <c r="L48" s="4">
        <f>F48+H48+J48</f>
        <v>0</v>
      </c>
      <c r="M48" s="17"/>
      <c r="R48">
        <f t="shared" ref="R48:AY48" si="1">SUM(R28:R38)</f>
        <v>0</v>
      </c>
      <c r="S48">
        <f t="shared" si="1"/>
        <v>0</v>
      </c>
      <c r="T48">
        <f t="shared" si="1"/>
        <v>0</v>
      </c>
      <c r="U48">
        <f t="shared" si="1"/>
        <v>0</v>
      </c>
      <c r="V48">
        <f t="shared" si="1"/>
        <v>0</v>
      </c>
      <c r="W48">
        <f t="shared" si="1"/>
        <v>0</v>
      </c>
      <c r="X48">
        <f t="shared" si="1"/>
        <v>0</v>
      </c>
      <c r="Y48">
        <f t="shared" si="1"/>
        <v>0</v>
      </c>
      <c r="Z48">
        <f t="shared" si="1"/>
        <v>0</v>
      </c>
      <c r="AA48">
        <f t="shared" si="1"/>
        <v>0</v>
      </c>
      <c r="AB48">
        <f t="shared" si="1"/>
        <v>0</v>
      </c>
      <c r="AC48">
        <f t="shared" si="1"/>
        <v>0</v>
      </c>
      <c r="AD48">
        <f t="shared" si="1"/>
        <v>0</v>
      </c>
      <c r="AE48">
        <f t="shared" si="1"/>
        <v>0</v>
      </c>
      <c r="AF48">
        <f t="shared" si="1"/>
        <v>0</v>
      </c>
      <c r="AG48">
        <f t="shared" si="1"/>
        <v>0</v>
      </c>
      <c r="AH48">
        <f t="shared" si="1"/>
        <v>0</v>
      </c>
      <c r="AI48">
        <f t="shared" si="1"/>
        <v>0</v>
      </c>
      <c r="AJ48">
        <f t="shared" si="1"/>
        <v>0</v>
      </c>
      <c r="AK48">
        <f t="shared" si="1"/>
        <v>0</v>
      </c>
      <c r="AL48">
        <f t="shared" si="1"/>
        <v>0</v>
      </c>
      <c r="AM48">
        <f t="shared" si="1"/>
        <v>0</v>
      </c>
      <c r="AN48">
        <f t="shared" si="1"/>
        <v>0</v>
      </c>
      <c r="AO48">
        <f t="shared" si="1"/>
        <v>0</v>
      </c>
      <c r="AP48">
        <f t="shared" si="1"/>
        <v>0</v>
      </c>
      <c r="AQ48">
        <f t="shared" si="1"/>
        <v>0</v>
      </c>
      <c r="AR48">
        <f t="shared" si="1"/>
        <v>0</v>
      </c>
      <c r="AS48">
        <f t="shared" si="1"/>
        <v>0</v>
      </c>
      <c r="AT48">
        <f t="shared" si="1"/>
        <v>0</v>
      </c>
      <c r="AU48">
        <f t="shared" si="1"/>
        <v>0</v>
      </c>
      <c r="AV48">
        <f t="shared" si="1"/>
        <v>0</v>
      </c>
      <c r="AW48">
        <f t="shared" si="1"/>
        <v>0</v>
      </c>
      <c r="AX48">
        <f t="shared" si="1"/>
        <v>0</v>
      </c>
      <c r="AY48">
        <f t="shared" si="1"/>
        <v>0</v>
      </c>
    </row>
  </sheetData>
  <mergeCells count="11">
    <mergeCell ref="I3:J3"/>
    <mergeCell ref="K3:L3"/>
    <mergeCell ref="A1:M1"/>
    <mergeCell ref="A2:M2"/>
    <mergeCell ref="A3:A4"/>
    <mergeCell ref="B3:B4"/>
    <mergeCell ref="C3:C4"/>
    <mergeCell ref="D3:D4"/>
    <mergeCell ref="M3:M4"/>
    <mergeCell ref="E3:F3"/>
    <mergeCell ref="G3:H3"/>
  </mergeCells>
  <phoneticPr fontId="1" type="noConversion"/>
  <conditionalFormatting sqref="A5:M48">
    <cfRule type="containsText" dxfId="3" priority="1" stopIfTrue="1" operator="containsText" text=".">
      <formula>NOT(ISERROR(SEARCH(".",A5)))</formula>
    </cfRule>
    <cfRule type="notContainsText" dxfId="2" priority="2" stopIfTrue="1" operator="notContains" text=".">
      <formula>ISERROR(SEARCH(".",A5))</formula>
    </cfRule>
  </conditionalFormatting>
  <pageMargins left="0.55335110670221332" right="0" top="0.43834087668175337" bottom="0.1388888888888889" header="0.3" footer="0.1388888888888889"/>
  <pageSetup paperSize="9" orientation="landscape" r:id="rId1"/>
  <rowBreaks count="2" manualBreakCount="2">
    <brk id="26" max="12" man="1"/>
    <brk id="4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A9030-AB76-496F-A64B-6A799F440F41}">
  <sheetPr>
    <pageSetUpPr fitToPage="1"/>
  </sheetPr>
  <dimension ref="A1:T27"/>
  <sheetViews>
    <sheetView workbookViewId="0">
      <selection activeCell="G15" sqref="G15"/>
    </sheetView>
  </sheetViews>
  <sheetFormatPr defaultRowHeight="16.5" x14ac:dyDescent="0.3"/>
  <cols>
    <col min="1" max="1" width="40.625" customWidth="1"/>
    <col min="2" max="2" width="20.625" customWidth="1"/>
    <col min="3" max="4" width="4.625" customWidth="1"/>
    <col min="5" max="12" width="13.625" customWidth="1"/>
    <col min="13" max="13" width="12.625" customWidth="1"/>
    <col min="14" max="16" width="2.625" hidden="1" customWidth="1"/>
    <col min="17" max="19" width="1.625" hidden="1" customWidth="1"/>
    <col min="20" max="20" width="18.625" hidden="1" customWidth="1"/>
  </cols>
  <sheetData>
    <row r="1" spans="1:20" ht="30" customHeight="1" x14ac:dyDescent="0.3">
      <c r="A1" s="38" t="s">
        <v>373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20" ht="30" customHeight="1" x14ac:dyDescent="0.3">
      <c r="A2" s="36" t="s">
        <v>372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4"/>
    </row>
    <row r="3" spans="1:20" ht="30" customHeight="1" x14ac:dyDescent="0.3">
      <c r="A3" s="64" t="s">
        <v>131</v>
      </c>
      <c r="B3" s="64" t="s">
        <v>347</v>
      </c>
      <c r="C3" s="64" t="s">
        <v>130</v>
      </c>
      <c r="D3" s="64" t="s">
        <v>129</v>
      </c>
      <c r="E3" s="64" t="s">
        <v>128</v>
      </c>
      <c r="F3" s="64"/>
      <c r="G3" s="64" t="s">
        <v>127</v>
      </c>
      <c r="H3" s="64"/>
      <c r="I3" s="64" t="s">
        <v>126</v>
      </c>
      <c r="J3" s="64"/>
      <c r="K3" s="64" t="s">
        <v>125</v>
      </c>
      <c r="L3" s="64"/>
      <c r="M3" s="64" t="s">
        <v>371</v>
      </c>
      <c r="N3" s="66" t="s">
        <v>370</v>
      </c>
      <c r="O3" s="66" t="s">
        <v>369</v>
      </c>
      <c r="P3" s="66" t="s">
        <v>368</v>
      </c>
      <c r="Q3" s="66" t="s">
        <v>367</v>
      </c>
      <c r="R3" s="66" t="s">
        <v>366</v>
      </c>
      <c r="S3" s="66" t="s">
        <v>365</v>
      </c>
      <c r="T3" s="66" t="s">
        <v>364</v>
      </c>
    </row>
    <row r="4" spans="1:20" ht="30" customHeight="1" x14ac:dyDescent="0.3">
      <c r="A4" s="65"/>
      <c r="B4" s="65"/>
      <c r="C4" s="65"/>
      <c r="D4" s="65"/>
      <c r="E4" s="33" t="s">
        <v>123</v>
      </c>
      <c r="F4" s="33" t="s">
        <v>363</v>
      </c>
      <c r="G4" s="33" t="s">
        <v>123</v>
      </c>
      <c r="H4" s="33" t="s">
        <v>363</v>
      </c>
      <c r="I4" s="33" t="s">
        <v>123</v>
      </c>
      <c r="J4" s="33" t="s">
        <v>363</v>
      </c>
      <c r="K4" s="33" t="s">
        <v>123</v>
      </c>
      <c r="L4" s="33" t="s">
        <v>363</v>
      </c>
      <c r="M4" s="65"/>
      <c r="N4" s="66"/>
      <c r="O4" s="66"/>
      <c r="P4" s="66"/>
      <c r="Q4" s="66"/>
      <c r="R4" s="66"/>
      <c r="S4" s="66"/>
      <c r="T4" s="66"/>
    </row>
    <row r="5" spans="1:20" ht="30" customHeight="1" x14ac:dyDescent="0.3">
      <c r="A5" s="29" t="s">
        <v>362</v>
      </c>
      <c r="B5" s="29" t="s">
        <v>0</v>
      </c>
      <c r="C5" s="29" t="s">
        <v>0</v>
      </c>
      <c r="D5" s="27">
        <v>1</v>
      </c>
      <c r="E5" s="28"/>
      <c r="F5" s="28"/>
      <c r="G5" s="28"/>
      <c r="H5" s="28"/>
      <c r="I5" s="28"/>
      <c r="J5" s="28"/>
      <c r="K5" s="28"/>
      <c r="L5" s="28"/>
      <c r="M5" s="29" t="s">
        <v>0</v>
      </c>
      <c r="N5" s="31" t="s">
        <v>361</v>
      </c>
      <c r="O5" s="31" t="s">
        <v>0</v>
      </c>
      <c r="P5" s="31" t="s">
        <v>0</v>
      </c>
      <c r="Q5" s="31" t="s">
        <v>0</v>
      </c>
      <c r="R5" s="32">
        <v>1</v>
      </c>
      <c r="S5" s="31" t="s">
        <v>0</v>
      </c>
      <c r="T5" s="30"/>
    </row>
    <row r="6" spans="1:20" ht="30" customHeight="1" x14ac:dyDescent="0.3">
      <c r="A6" s="29" t="s">
        <v>142</v>
      </c>
      <c r="B6" s="29" t="s">
        <v>0</v>
      </c>
      <c r="C6" s="29" t="s">
        <v>0</v>
      </c>
      <c r="D6" s="27">
        <v>1</v>
      </c>
      <c r="E6" s="28"/>
      <c r="F6" s="28"/>
      <c r="G6" s="28"/>
      <c r="H6" s="28"/>
      <c r="I6" s="28"/>
      <c r="J6" s="28"/>
      <c r="K6" s="28"/>
      <c r="L6" s="28"/>
      <c r="M6" s="29" t="s">
        <v>0</v>
      </c>
      <c r="N6" s="31" t="s">
        <v>350</v>
      </c>
      <c r="O6" s="31" t="s">
        <v>0</v>
      </c>
      <c r="P6" s="31" t="s">
        <v>361</v>
      </c>
      <c r="Q6" s="31" t="s">
        <v>0</v>
      </c>
      <c r="R6" s="32">
        <v>2</v>
      </c>
      <c r="S6" s="31" t="s">
        <v>0</v>
      </c>
      <c r="T6" s="30"/>
    </row>
    <row r="7" spans="1:20" ht="30" customHeight="1" x14ac:dyDescent="0.3">
      <c r="A7" s="29" t="s">
        <v>360</v>
      </c>
      <c r="B7" s="29" t="s">
        <v>0</v>
      </c>
      <c r="C7" s="29" t="s">
        <v>0</v>
      </c>
      <c r="D7" s="27">
        <v>1</v>
      </c>
      <c r="E7" s="28"/>
      <c r="F7" s="28"/>
      <c r="G7" s="28"/>
      <c r="H7" s="28"/>
      <c r="I7" s="28"/>
      <c r="J7" s="28"/>
      <c r="K7" s="28"/>
      <c r="L7" s="28"/>
      <c r="M7" s="29" t="s">
        <v>0</v>
      </c>
      <c r="N7" s="31" t="s">
        <v>359</v>
      </c>
      <c r="O7" s="31" t="s">
        <v>0</v>
      </c>
      <c r="P7" s="31" t="s">
        <v>350</v>
      </c>
      <c r="Q7" s="31" t="s">
        <v>0</v>
      </c>
      <c r="R7" s="32">
        <v>3</v>
      </c>
      <c r="S7" s="31" t="s">
        <v>0</v>
      </c>
      <c r="T7" s="30"/>
    </row>
    <row r="8" spans="1:20" ht="30" customHeight="1" x14ac:dyDescent="0.3">
      <c r="A8" s="29" t="s">
        <v>358</v>
      </c>
      <c r="B8" s="29" t="s">
        <v>0</v>
      </c>
      <c r="C8" s="29" t="s">
        <v>0</v>
      </c>
      <c r="D8" s="27">
        <v>1</v>
      </c>
      <c r="E8" s="28"/>
      <c r="F8" s="28"/>
      <c r="G8" s="28"/>
      <c r="H8" s="28"/>
      <c r="I8" s="28"/>
      <c r="J8" s="28"/>
      <c r="K8" s="28"/>
      <c r="L8" s="28"/>
      <c r="M8" s="29" t="s">
        <v>0</v>
      </c>
      <c r="N8" s="31" t="s">
        <v>357</v>
      </c>
      <c r="O8" s="31" t="s">
        <v>0</v>
      </c>
      <c r="P8" s="31" t="s">
        <v>350</v>
      </c>
      <c r="Q8" s="31" t="s">
        <v>0</v>
      </c>
      <c r="R8" s="32">
        <v>3</v>
      </c>
      <c r="S8" s="31" t="s">
        <v>0</v>
      </c>
      <c r="T8" s="30"/>
    </row>
    <row r="9" spans="1:20" ht="30" customHeight="1" x14ac:dyDescent="0.3">
      <c r="A9" s="29" t="s">
        <v>356</v>
      </c>
      <c r="B9" s="29" t="s">
        <v>0</v>
      </c>
      <c r="C9" s="29" t="s">
        <v>0</v>
      </c>
      <c r="D9" s="27">
        <v>1</v>
      </c>
      <c r="E9" s="28"/>
      <c r="F9" s="28"/>
      <c r="G9" s="28"/>
      <c r="H9" s="28"/>
      <c r="I9" s="28"/>
      <c r="J9" s="28"/>
      <c r="K9" s="28"/>
      <c r="L9" s="28"/>
      <c r="M9" s="29" t="s">
        <v>0</v>
      </c>
      <c r="N9" s="31" t="s">
        <v>355</v>
      </c>
      <c r="O9" s="31" t="s">
        <v>0</v>
      </c>
      <c r="P9" s="31" t="s">
        <v>350</v>
      </c>
      <c r="Q9" s="31" t="s">
        <v>0</v>
      </c>
      <c r="R9" s="32">
        <v>3</v>
      </c>
      <c r="S9" s="31" t="s">
        <v>0</v>
      </c>
      <c r="T9" s="30"/>
    </row>
    <row r="10" spans="1:20" ht="30" customHeight="1" x14ac:dyDescent="0.3">
      <c r="A10" s="29" t="s">
        <v>354</v>
      </c>
      <c r="B10" s="29" t="s">
        <v>0</v>
      </c>
      <c r="C10" s="29" t="s">
        <v>0</v>
      </c>
      <c r="D10" s="27">
        <v>1</v>
      </c>
      <c r="E10" s="28"/>
      <c r="F10" s="28"/>
      <c r="G10" s="28"/>
      <c r="H10" s="28"/>
      <c r="I10" s="28"/>
      <c r="J10" s="28"/>
      <c r="K10" s="28"/>
      <c r="L10" s="28"/>
      <c r="M10" s="29" t="s">
        <v>0</v>
      </c>
      <c r="N10" s="31" t="s">
        <v>353</v>
      </c>
      <c r="O10" s="31" t="s">
        <v>0</v>
      </c>
      <c r="P10" s="31" t="s">
        <v>350</v>
      </c>
      <c r="Q10" s="31" t="s">
        <v>0</v>
      </c>
      <c r="R10" s="32">
        <v>3</v>
      </c>
      <c r="S10" s="31" t="s">
        <v>0</v>
      </c>
      <c r="T10" s="30"/>
    </row>
    <row r="11" spans="1:20" ht="30" customHeight="1" x14ac:dyDescent="0.3">
      <c r="A11" s="29" t="s">
        <v>352</v>
      </c>
      <c r="B11" s="29" t="s">
        <v>0</v>
      </c>
      <c r="C11" s="29" t="s">
        <v>0</v>
      </c>
      <c r="D11" s="27">
        <v>1</v>
      </c>
      <c r="E11" s="28"/>
      <c r="F11" s="28"/>
      <c r="G11" s="28"/>
      <c r="H11" s="28"/>
      <c r="I11" s="28"/>
      <c r="J11" s="28"/>
      <c r="K11" s="28"/>
      <c r="L11" s="28"/>
      <c r="M11" s="29" t="s">
        <v>0</v>
      </c>
      <c r="N11" s="31" t="s">
        <v>351</v>
      </c>
      <c r="O11" s="31" t="s">
        <v>0</v>
      </c>
      <c r="P11" s="31" t="s">
        <v>350</v>
      </c>
      <c r="Q11" s="31" t="s">
        <v>0</v>
      </c>
      <c r="R11" s="32">
        <v>3</v>
      </c>
      <c r="S11" s="31" t="s">
        <v>0</v>
      </c>
      <c r="T11" s="30"/>
    </row>
    <row r="12" spans="1:20" ht="30" customHeight="1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T12" s="15"/>
    </row>
    <row r="13" spans="1:20" ht="30" customHeight="1" x14ac:dyDescent="0.3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T13" s="15"/>
    </row>
    <row r="14" spans="1:20" ht="30" customHeight="1" x14ac:dyDescent="0.3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T14" s="15"/>
    </row>
    <row r="15" spans="1:20" ht="30" customHeight="1" x14ac:dyDescent="0.3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T15" s="15"/>
    </row>
    <row r="16" spans="1:20" ht="30" customHeight="1" x14ac:dyDescent="0.3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T16" s="15"/>
    </row>
    <row r="17" spans="1:20" ht="30" customHeight="1" x14ac:dyDescent="0.3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T17" s="15"/>
    </row>
    <row r="18" spans="1:20" ht="30" customHeight="1" x14ac:dyDescent="0.3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T18" s="15"/>
    </row>
    <row r="19" spans="1:20" ht="30" customHeight="1" x14ac:dyDescent="0.3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T19" s="15"/>
    </row>
    <row r="20" spans="1:20" ht="30" customHeight="1" x14ac:dyDescent="0.3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T20" s="15"/>
    </row>
    <row r="21" spans="1:20" ht="30" customHeight="1" x14ac:dyDescent="0.3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T21" s="15"/>
    </row>
    <row r="22" spans="1:20" ht="30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T22" s="15"/>
    </row>
    <row r="23" spans="1:20" ht="30" customHeight="1" x14ac:dyDescent="0.3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T23" s="15"/>
    </row>
    <row r="24" spans="1:20" ht="30" customHeight="1" x14ac:dyDescent="0.3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T24" s="15"/>
    </row>
    <row r="25" spans="1:20" ht="30" customHeight="1" x14ac:dyDescent="0.3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T25" s="15"/>
    </row>
    <row r="26" spans="1:20" ht="30" customHeight="1" x14ac:dyDescent="0.3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T26" s="15"/>
    </row>
    <row r="27" spans="1:20" ht="30" customHeight="1" x14ac:dyDescent="0.3">
      <c r="A27" s="29" t="s">
        <v>349</v>
      </c>
      <c r="B27" s="27"/>
      <c r="C27" s="27"/>
      <c r="D27" s="27"/>
      <c r="E27" s="27"/>
      <c r="F27" s="28">
        <f>F5</f>
        <v>0</v>
      </c>
      <c r="G27" s="27"/>
      <c r="H27" s="28">
        <f>H5</f>
        <v>0</v>
      </c>
      <c r="I27" s="27"/>
      <c r="J27" s="28">
        <f>J5</f>
        <v>0</v>
      </c>
      <c r="K27" s="27"/>
      <c r="L27" s="28">
        <f>L5</f>
        <v>0</v>
      </c>
      <c r="M27" s="27"/>
      <c r="T27" s="15"/>
    </row>
  </sheetData>
  <mergeCells count="16">
    <mergeCell ref="Q3:Q4"/>
    <mergeCell ref="R3:R4"/>
    <mergeCell ref="S3:S4"/>
    <mergeCell ref="T3:T4"/>
    <mergeCell ref="I3:J3"/>
    <mergeCell ref="K3:L3"/>
    <mergeCell ref="M3:M4"/>
    <mergeCell ref="N3:N4"/>
    <mergeCell ref="O3:O4"/>
    <mergeCell ref="P3:P4"/>
    <mergeCell ref="G3:H3"/>
    <mergeCell ref="A3:A4"/>
    <mergeCell ref="B3:B4"/>
    <mergeCell ref="C3:C4"/>
    <mergeCell ref="D3:D4"/>
    <mergeCell ref="E3:F3"/>
  </mergeCells>
  <phoneticPr fontId="1" type="noConversion"/>
  <pageMargins left="0.78740157480314954" right="0" top="0.39370078740157477" bottom="0.39370078740157477" header="0" footer="0"/>
  <pageSetup paperSize="9" scale="64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DBF4-5ED5-4F24-A8C0-EC5BFCF42C6C}">
  <sheetPr>
    <tabColor rgb="FFFFFFB7"/>
  </sheetPr>
  <dimension ref="A1:AY334"/>
  <sheetViews>
    <sheetView view="pageBreakPreview" zoomScale="130" zoomScaleNormal="100" zoomScaleSheetLayoutView="130" workbookViewId="0">
      <selection activeCell="E292" sqref="E292:L298"/>
    </sheetView>
  </sheetViews>
  <sheetFormatPr defaultRowHeight="16.5" x14ac:dyDescent="0.3"/>
  <cols>
    <col min="1" max="1" width="18.625" style="1" customWidth="1"/>
    <col min="2" max="2" width="16.625" style="1" customWidth="1"/>
    <col min="3" max="3" width="4.625" style="16" customWidth="1"/>
    <col min="4" max="4" width="6.625" style="2" customWidth="1"/>
    <col min="5" max="5" width="8.625" style="2" customWidth="1"/>
    <col min="6" max="6" width="9.625" style="2" customWidth="1"/>
    <col min="7" max="7" width="8.625" style="2" customWidth="1"/>
    <col min="8" max="8" width="9.625" style="2" customWidth="1"/>
    <col min="9" max="9" width="7.625" style="2" customWidth="1"/>
    <col min="10" max="11" width="8.625" style="2" customWidth="1"/>
    <col min="12" max="12" width="9.625" style="2" customWidth="1"/>
    <col min="13" max="13" width="8.625" style="16" customWidth="1"/>
    <col min="14" max="51" width="9" hidden="1" customWidth="1"/>
  </cols>
  <sheetData>
    <row r="1" spans="1:51" ht="30" customHeight="1" x14ac:dyDescent="0.3">
      <c r="A1" s="52" t="s">
        <v>348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51" ht="20.100000000000001" customHeight="1" x14ac:dyDescent="0.3">
      <c r="A2" s="53" t="s">
        <v>66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51" ht="20.100000000000001" customHeight="1" x14ac:dyDescent="0.3">
      <c r="A3" s="61" t="s">
        <v>131</v>
      </c>
      <c r="B3" s="61" t="s">
        <v>347</v>
      </c>
      <c r="C3" s="61" t="s">
        <v>130</v>
      </c>
      <c r="D3" s="61" t="s">
        <v>346</v>
      </c>
      <c r="E3" s="61" t="s">
        <v>128</v>
      </c>
      <c r="F3" s="61"/>
      <c r="G3" s="61" t="s">
        <v>127</v>
      </c>
      <c r="H3" s="61"/>
      <c r="I3" s="61" t="s">
        <v>126</v>
      </c>
      <c r="J3" s="61"/>
      <c r="K3" s="61" t="s">
        <v>125</v>
      </c>
      <c r="L3" s="61"/>
      <c r="M3" s="61" t="s">
        <v>124</v>
      </c>
    </row>
    <row r="4" spans="1:51" ht="20.100000000000001" customHeight="1" x14ac:dyDescent="0.3">
      <c r="A4" s="61"/>
      <c r="B4" s="61"/>
      <c r="C4" s="61"/>
      <c r="D4" s="61"/>
      <c r="E4" s="26" t="s">
        <v>123</v>
      </c>
      <c r="F4" s="26" t="s">
        <v>345</v>
      </c>
      <c r="G4" s="26" t="s">
        <v>123</v>
      </c>
      <c r="H4" s="26" t="s">
        <v>345</v>
      </c>
      <c r="I4" s="26" t="s">
        <v>123</v>
      </c>
      <c r="J4" s="26" t="s">
        <v>345</v>
      </c>
      <c r="K4" s="26" t="s">
        <v>123</v>
      </c>
      <c r="L4" s="26" t="s">
        <v>345</v>
      </c>
      <c r="M4" s="61"/>
      <c r="N4" t="s">
        <v>121</v>
      </c>
      <c r="O4" t="s">
        <v>120</v>
      </c>
      <c r="P4" t="s">
        <v>119</v>
      </c>
      <c r="Q4" t="s">
        <v>118</v>
      </c>
      <c r="R4" t="s">
        <v>117</v>
      </c>
      <c r="S4" t="s">
        <v>116</v>
      </c>
      <c r="T4" t="s">
        <v>99</v>
      </c>
      <c r="U4" t="s">
        <v>115</v>
      </c>
      <c r="V4" t="s">
        <v>114</v>
      </c>
      <c r="W4" t="s">
        <v>113</v>
      </c>
      <c r="X4" t="s">
        <v>112</v>
      </c>
      <c r="Y4" t="s">
        <v>111</v>
      </c>
      <c r="Z4" t="s">
        <v>110</v>
      </c>
      <c r="AA4" t="s">
        <v>109</v>
      </c>
      <c r="AB4" t="s">
        <v>108</v>
      </c>
      <c r="AC4" t="s">
        <v>107</v>
      </c>
      <c r="AD4" t="s">
        <v>106</v>
      </c>
      <c r="AE4" t="s">
        <v>105</v>
      </c>
      <c r="AF4" t="s">
        <v>104</v>
      </c>
      <c r="AG4" t="s">
        <v>103</v>
      </c>
      <c r="AH4" t="s">
        <v>102</v>
      </c>
      <c r="AI4" t="s">
        <v>101</v>
      </c>
      <c r="AJ4" t="s">
        <v>100</v>
      </c>
      <c r="AK4" t="s">
        <v>99</v>
      </c>
      <c r="AL4" t="s">
        <v>98</v>
      </c>
      <c r="AM4" t="s">
        <v>97</v>
      </c>
      <c r="AN4" t="s">
        <v>96</v>
      </c>
      <c r="AO4" t="s">
        <v>95</v>
      </c>
      <c r="AP4" t="s">
        <v>94</v>
      </c>
      <c r="AQ4" t="s">
        <v>93</v>
      </c>
      <c r="AR4" t="s">
        <v>92</v>
      </c>
      <c r="AS4" t="s">
        <v>91</v>
      </c>
      <c r="AT4" t="s">
        <v>90</v>
      </c>
      <c r="AU4" t="s">
        <v>89</v>
      </c>
      <c r="AV4" t="s">
        <v>88</v>
      </c>
      <c r="AW4" t="s">
        <v>87</v>
      </c>
      <c r="AX4" t="s">
        <v>86</v>
      </c>
      <c r="AY4" t="s">
        <v>85</v>
      </c>
    </row>
    <row r="5" spans="1:51" ht="20.100000000000001" customHeight="1" x14ac:dyDescent="0.3">
      <c r="A5" s="67" t="s">
        <v>344</v>
      </c>
      <c r="B5" s="68"/>
      <c r="C5" s="68"/>
      <c r="D5" s="69"/>
      <c r="E5" s="69"/>
      <c r="F5" s="69"/>
      <c r="G5" s="69"/>
      <c r="H5" s="69"/>
      <c r="I5" s="69"/>
      <c r="J5" s="69"/>
      <c r="K5" s="69"/>
      <c r="L5" s="69"/>
      <c r="M5" s="68"/>
    </row>
    <row r="6" spans="1:51" ht="20.100000000000001" customHeight="1" x14ac:dyDescent="0.3">
      <c r="A6" s="25" t="s">
        <v>343</v>
      </c>
      <c r="B6" s="25" t="s">
        <v>342</v>
      </c>
      <c r="C6" s="24" t="s">
        <v>341</v>
      </c>
      <c r="D6" s="18">
        <v>2</v>
      </c>
      <c r="E6" s="18"/>
      <c r="F6" s="18"/>
      <c r="G6" s="18"/>
      <c r="H6" s="18"/>
      <c r="I6" s="18"/>
      <c r="J6" s="18"/>
      <c r="K6" s="18"/>
      <c r="L6" s="18"/>
      <c r="M6" s="24" t="s">
        <v>340</v>
      </c>
      <c r="O6" t="str">
        <f>""</f>
        <v/>
      </c>
      <c r="P6" s="5" t="s">
        <v>117</v>
      </c>
      <c r="Q6">
        <v>1</v>
      </c>
      <c r="R6">
        <f t="shared" ref="R6:R11" si="0">IF(P6="기계경비", J6, 0)</f>
        <v>0</v>
      </c>
      <c r="S6">
        <f t="shared" ref="S6:S11" si="1">IF(P6="운반비", L6, 0)</f>
        <v>0</v>
      </c>
      <c r="T6">
        <f t="shared" ref="T6:T11" si="2">IF(P6="작업부산물", F6, 0)</f>
        <v>0</v>
      </c>
      <c r="U6">
        <f t="shared" ref="U6:U11" si="3">IF(P6="관급", F6, 0)</f>
        <v>0</v>
      </c>
      <c r="V6">
        <f t="shared" ref="V6:V11" si="4">IF(P6="외주비", J6, 0)</f>
        <v>0</v>
      </c>
      <c r="W6">
        <f t="shared" ref="W6:W11" si="5">IF(P6="장비비", J6, 0)</f>
        <v>0</v>
      </c>
      <c r="X6">
        <f t="shared" ref="X6:X11" si="6">IF(P6="폐기물처리비", L6, 0)</f>
        <v>0</v>
      </c>
      <c r="Y6">
        <f t="shared" ref="Y6:Y11" si="7">IF(P6="가설비", J6, 0)</f>
        <v>0</v>
      </c>
      <c r="Z6">
        <f t="shared" ref="Z6:Z11" si="8">IF(P6="잡비제외분", F6, 0)</f>
        <v>0</v>
      </c>
      <c r="AA6">
        <f t="shared" ref="AA6:AA11" si="9">IF(P6="사급자재대", L6, 0)</f>
        <v>0</v>
      </c>
      <c r="AB6">
        <f t="shared" ref="AB6:AB11" si="10">IF(P6="관급자재대", L6, 0)</f>
        <v>0</v>
      </c>
      <c r="AC6">
        <f t="shared" ref="AC6:AC11" si="11">IF(P6="관급자관급", L6, 0)</f>
        <v>0</v>
      </c>
      <c r="AD6">
        <f t="shared" ref="AD6:AD11" si="12">IF(P6="품질시험비", L6, 0)</f>
        <v>0</v>
      </c>
      <c r="AE6">
        <f t="shared" ref="AE6:AE11" si="13">IF(P6="수도광열비", L6, 0)</f>
        <v>0</v>
      </c>
      <c r="AF6">
        <f t="shared" ref="AF6:AF11" si="14">IF(P6="공기중석면농도측정비", L6, 0)</f>
        <v>0</v>
      </c>
      <c r="AG6">
        <f t="shared" ref="AG6:AG11" si="15">IF(P6="사용자항목5", L6, 0)</f>
        <v>0</v>
      </c>
      <c r="AH6">
        <f t="shared" ref="AH6:AH11" si="16">IF(P6="사용자항목6", L6, 0)</f>
        <v>0</v>
      </c>
      <c r="AI6">
        <f t="shared" ref="AI6:AI11" si="17">IF(P6="사용자항목7", L6, 0)</f>
        <v>0</v>
      </c>
      <c r="AJ6">
        <f t="shared" ref="AJ6:AJ11" si="18">IF(P6="관급자재대2", L6, 0)</f>
        <v>0</v>
      </c>
      <c r="AK6">
        <f t="shared" ref="AK6:AK11" si="19">IF(P6="작업부산물", L6, 0)</f>
        <v>0</v>
      </c>
      <c r="AL6">
        <f t="shared" ref="AL6:AL11" si="20">IF(P6="해체계획비및검토비", L6, 0)</f>
        <v>0</v>
      </c>
      <c r="AM6">
        <f t="shared" ref="AM6:AM11" si="21">IF(P6="사용자항목11", L6, 0)</f>
        <v>0</v>
      </c>
      <c r="AN6">
        <f t="shared" ref="AN6:AN11" si="22">IF(P6="사용자항목12", L6, 0)</f>
        <v>0</v>
      </c>
      <c r="AO6">
        <f t="shared" ref="AO6:AO11" si="23">IF(P6="사용자항목13", L6, 0)</f>
        <v>0</v>
      </c>
      <c r="AP6">
        <f t="shared" ref="AP6:AP11" si="24">IF(P6="사용자항목14", L6, 0)</f>
        <v>0</v>
      </c>
      <c r="AQ6">
        <f t="shared" ref="AQ6:AQ11" si="25">IF(P6="사용자항목15", L6, 0)</f>
        <v>0</v>
      </c>
      <c r="AR6">
        <f t="shared" ref="AR6:AR11" si="26">IF(P6="사용자항목16", L6, 0)</f>
        <v>0</v>
      </c>
      <c r="AS6">
        <f t="shared" ref="AS6:AS11" si="27">IF(P6="사용자항목17", L6, 0)</f>
        <v>0</v>
      </c>
      <c r="AT6">
        <f t="shared" ref="AT6:AT11" si="28">IF(P6="사용자항목18", L6, 0)</f>
        <v>0</v>
      </c>
      <c r="AU6">
        <f t="shared" ref="AU6:AU11" si="29">IF(P6="사용자항목19", L6, 0)</f>
        <v>0</v>
      </c>
    </row>
    <row r="7" spans="1:51" ht="20.100000000000001" customHeight="1" x14ac:dyDescent="0.3">
      <c r="A7" s="25" t="s">
        <v>339</v>
      </c>
      <c r="B7" s="25" t="s">
        <v>338</v>
      </c>
      <c r="C7" s="24" t="s">
        <v>152</v>
      </c>
      <c r="D7" s="18">
        <v>1</v>
      </c>
      <c r="E7" s="18"/>
      <c r="F7" s="18"/>
      <c r="G7" s="18"/>
      <c r="H7" s="18"/>
      <c r="I7" s="18"/>
      <c r="J7" s="18"/>
      <c r="K7" s="18"/>
      <c r="L7" s="18"/>
      <c r="M7" s="24" t="s">
        <v>337</v>
      </c>
      <c r="O7" t="str">
        <f>""</f>
        <v/>
      </c>
      <c r="P7" s="5" t="s">
        <v>117</v>
      </c>
      <c r="Q7">
        <v>1</v>
      </c>
      <c r="R7">
        <f t="shared" si="0"/>
        <v>0</v>
      </c>
      <c r="S7">
        <f t="shared" si="1"/>
        <v>0</v>
      </c>
      <c r="T7">
        <f t="shared" si="2"/>
        <v>0</v>
      </c>
      <c r="U7">
        <f t="shared" si="3"/>
        <v>0</v>
      </c>
      <c r="V7">
        <f t="shared" si="4"/>
        <v>0</v>
      </c>
      <c r="W7">
        <f t="shared" si="5"/>
        <v>0</v>
      </c>
      <c r="X7">
        <f t="shared" si="6"/>
        <v>0</v>
      </c>
      <c r="Y7">
        <f t="shared" si="7"/>
        <v>0</v>
      </c>
      <c r="Z7">
        <f t="shared" si="8"/>
        <v>0</v>
      </c>
      <c r="AA7">
        <f t="shared" si="9"/>
        <v>0</v>
      </c>
      <c r="AB7">
        <f t="shared" si="10"/>
        <v>0</v>
      </c>
      <c r="AC7">
        <f t="shared" si="11"/>
        <v>0</v>
      </c>
      <c r="AD7">
        <f t="shared" si="12"/>
        <v>0</v>
      </c>
      <c r="AE7">
        <f t="shared" si="13"/>
        <v>0</v>
      </c>
      <c r="AF7">
        <f t="shared" si="14"/>
        <v>0</v>
      </c>
      <c r="AG7">
        <f t="shared" si="15"/>
        <v>0</v>
      </c>
      <c r="AH7">
        <f t="shared" si="16"/>
        <v>0</v>
      </c>
      <c r="AI7">
        <f t="shared" si="17"/>
        <v>0</v>
      </c>
      <c r="AJ7">
        <f t="shared" si="18"/>
        <v>0</v>
      </c>
      <c r="AK7">
        <f t="shared" si="19"/>
        <v>0</v>
      </c>
      <c r="AL7">
        <f t="shared" si="20"/>
        <v>0</v>
      </c>
      <c r="AM7">
        <f t="shared" si="21"/>
        <v>0</v>
      </c>
      <c r="AN7">
        <f t="shared" si="22"/>
        <v>0</v>
      </c>
      <c r="AO7">
        <f t="shared" si="23"/>
        <v>0</v>
      </c>
      <c r="AP7">
        <f t="shared" si="24"/>
        <v>0</v>
      </c>
      <c r="AQ7">
        <f t="shared" si="25"/>
        <v>0</v>
      </c>
      <c r="AR7">
        <f t="shared" si="26"/>
        <v>0</v>
      </c>
      <c r="AS7">
        <f t="shared" si="27"/>
        <v>0</v>
      </c>
      <c r="AT7">
        <f t="shared" si="28"/>
        <v>0</v>
      </c>
      <c r="AU7">
        <f t="shared" si="29"/>
        <v>0</v>
      </c>
    </row>
    <row r="8" spans="1:51" ht="20.100000000000001" customHeight="1" x14ac:dyDescent="0.3">
      <c r="A8" s="25" t="s">
        <v>336</v>
      </c>
      <c r="B8" s="25" t="s">
        <v>335</v>
      </c>
      <c r="C8" s="24" t="s">
        <v>152</v>
      </c>
      <c r="D8" s="18">
        <v>1</v>
      </c>
      <c r="E8" s="18"/>
      <c r="F8" s="18"/>
      <c r="G8" s="18"/>
      <c r="H8" s="18"/>
      <c r="I8" s="18"/>
      <c r="J8" s="18"/>
      <c r="K8" s="18"/>
      <c r="L8" s="18"/>
      <c r="M8" s="24" t="s">
        <v>334</v>
      </c>
      <c r="O8" t="str">
        <f>""</f>
        <v/>
      </c>
      <c r="P8" s="5" t="s">
        <v>117</v>
      </c>
      <c r="Q8">
        <v>1</v>
      </c>
      <c r="R8">
        <f t="shared" si="0"/>
        <v>0</v>
      </c>
      <c r="S8">
        <f t="shared" si="1"/>
        <v>0</v>
      </c>
      <c r="T8">
        <f t="shared" si="2"/>
        <v>0</v>
      </c>
      <c r="U8">
        <f t="shared" si="3"/>
        <v>0</v>
      </c>
      <c r="V8">
        <f t="shared" si="4"/>
        <v>0</v>
      </c>
      <c r="W8">
        <f t="shared" si="5"/>
        <v>0</v>
      </c>
      <c r="X8">
        <f t="shared" si="6"/>
        <v>0</v>
      </c>
      <c r="Y8">
        <f t="shared" si="7"/>
        <v>0</v>
      </c>
      <c r="Z8">
        <f t="shared" si="8"/>
        <v>0</v>
      </c>
      <c r="AA8">
        <f t="shared" si="9"/>
        <v>0</v>
      </c>
      <c r="AB8">
        <f t="shared" si="10"/>
        <v>0</v>
      </c>
      <c r="AC8">
        <f t="shared" si="11"/>
        <v>0</v>
      </c>
      <c r="AD8">
        <f t="shared" si="12"/>
        <v>0</v>
      </c>
      <c r="AE8">
        <f t="shared" si="13"/>
        <v>0</v>
      </c>
      <c r="AF8">
        <f t="shared" si="14"/>
        <v>0</v>
      </c>
      <c r="AG8">
        <f t="shared" si="15"/>
        <v>0</v>
      </c>
      <c r="AH8">
        <f t="shared" si="16"/>
        <v>0</v>
      </c>
      <c r="AI8">
        <f t="shared" si="17"/>
        <v>0</v>
      </c>
      <c r="AJ8">
        <f t="shared" si="18"/>
        <v>0</v>
      </c>
      <c r="AK8">
        <f t="shared" si="19"/>
        <v>0</v>
      </c>
      <c r="AL8">
        <f t="shared" si="20"/>
        <v>0</v>
      </c>
      <c r="AM8">
        <f t="shared" si="21"/>
        <v>0</v>
      </c>
      <c r="AN8">
        <f t="shared" si="22"/>
        <v>0</v>
      </c>
      <c r="AO8">
        <f t="shared" si="23"/>
        <v>0</v>
      </c>
      <c r="AP8">
        <f t="shared" si="24"/>
        <v>0</v>
      </c>
      <c r="AQ8">
        <f t="shared" si="25"/>
        <v>0</v>
      </c>
      <c r="AR8">
        <f t="shared" si="26"/>
        <v>0</v>
      </c>
      <c r="AS8">
        <f t="shared" si="27"/>
        <v>0</v>
      </c>
      <c r="AT8">
        <f t="shared" si="28"/>
        <v>0</v>
      </c>
      <c r="AU8">
        <f t="shared" si="29"/>
        <v>0</v>
      </c>
    </row>
    <row r="9" spans="1:51" ht="20.100000000000001" customHeight="1" x14ac:dyDescent="0.3">
      <c r="A9" s="25" t="s">
        <v>333</v>
      </c>
      <c r="B9" s="25" t="s">
        <v>332</v>
      </c>
      <c r="C9" s="24" t="s">
        <v>170</v>
      </c>
      <c r="D9" s="18">
        <v>6.2</v>
      </c>
      <c r="E9" s="18"/>
      <c r="F9" s="18"/>
      <c r="G9" s="18"/>
      <c r="H9" s="18"/>
      <c r="I9" s="18"/>
      <c r="J9" s="18"/>
      <c r="K9" s="18"/>
      <c r="L9" s="18"/>
      <c r="M9" s="24" t="s">
        <v>331</v>
      </c>
      <c r="O9" t="str">
        <f>""</f>
        <v/>
      </c>
      <c r="P9" s="5" t="s">
        <v>117</v>
      </c>
      <c r="Q9">
        <v>1</v>
      </c>
      <c r="R9">
        <f t="shared" si="0"/>
        <v>0</v>
      </c>
      <c r="S9">
        <f t="shared" si="1"/>
        <v>0</v>
      </c>
      <c r="T9">
        <f t="shared" si="2"/>
        <v>0</v>
      </c>
      <c r="U9">
        <f t="shared" si="3"/>
        <v>0</v>
      </c>
      <c r="V9">
        <f t="shared" si="4"/>
        <v>0</v>
      </c>
      <c r="W9">
        <f t="shared" si="5"/>
        <v>0</v>
      </c>
      <c r="X9">
        <f t="shared" si="6"/>
        <v>0</v>
      </c>
      <c r="Y9">
        <f t="shared" si="7"/>
        <v>0</v>
      </c>
      <c r="Z9">
        <f t="shared" si="8"/>
        <v>0</v>
      </c>
      <c r="AA9">
        <f t="shared" si="9"/>
        <v>0</v>
      </c>
      <c r="AB9">
        <f t="shared" si="10"/>
        <v>0</v>
      </c>
      <c r="AC9">
        <f t="shared" si="11"/>
        <v>0</v>
      </c>
      <c r="AD9">
        <f t="shared" si="12"/>
        <v>0</v>
      </c>
      <c r="AE9">
        <f t="shared" si="13"/>
        <v>0</v>
      </c>
      <c r="AF9">
        <f t="shared" si="14"/>
        <v>0</v>
      </c>
      <c r="AG9">
        <f t="shared" si="15"/>
        <v>0</v>
      </c>
      <c r="AH9">
        <f t="shared" si="16"/>
        <v>0</v>
      </c>
      <c r="AI9">
        <f t="shared" si="17"/>
        <v>0</v>
      </c>
      <c r="AJ9">
        <f t="shared" si="18"/>
        <v>0</v>
      </c>
      <c r="AK9">
        <f t="shared" si="19"/>
        <v>0</v>
      </c>
      <c r="AL9">
        <f t="shared" si="20"/>
        <v>0</v>
      </c>
      <c r="AM9">
        <f t="shared" si="21"/>
        <v>0</v>
      </c>
      <c r="AN9">
        <f t="shared" si="22"/>
        <v>0</v>
      </c>
      <c r="AO9">
        <f t="shared" si="23"/>
        <v>0</v>
      </c>
      <c r="AP9">
        <f t="shared" si="24"/>
        <v>0</v>
      </c>
      <c r="AQ9">
        <f t="shared" si="25"/>
        <v>0</v>
      </c>
      <c r="AR9">
        <f t="shared" si="26"/>
        <v>0</v>
      </c>
      <c r="AS9">
        <f t="shared" si="27"/>
        <v>0</v>
      </c>
      <c r="AT9">
        <f t="shared" si="28"/>
        <v>0</v>
      </c>
      <c r="AU9">
        <f t="shared" si="29"/>
        <v>0</v>
      </c>
    </row>
    <row r="10" spans="1:51" ht="20.100000000000001" customHeight="1" x14ac:dyDescent="0.3">
      <c r="A10" s="25" t="s">
        <v>328</v>
      </c>
      <c r="B10" s="25" t="s">
        <v>330</v>
      </c>
      <c r="C10" s="24" t="s">
        <v>326</v>
      </c>
      <c r="D10" s="18">
        <v>7</v>
      </c>
      <c r="E10" s="18"/>
      <c r="F10" s="18"/>
      <c r="G10" s="18"/>
      <c r="H10" s="18"/>
      <c r="I10" s="18"/>
      <c r="J10" s="18"/>
      <c r="K10" s="18"/>
      <c r="L10" s="18"/>
      <c r="M10" s="24" t="s">
        <v>329</v>
      </c>
      <c r="O10" t="str">
        <f>""</f>
        <v/>
      </c>
      <c r="P10" s="5" t="s">
        <v>117</v>
      </c>
      <c r="Q10">
        <v>1</v>
      </c>
      <c r="R10">
        <f t="shared" si="0"/>
        <v>0</v>
      </c>
      <c r="S10">
        <f t="shared" si="1"/>
        <v>0</v>
      </c>
      <c r="T10">
        <f t="shared" si="2"/>
        <v>0</v>
      </c>
      <c r="U10">
        <f t="shared" si="3"/>
        <v>0</v>
      </c>
      <c r="V10">
        <f t="shared" si="4"/>
        <v>0</v>
      </c>
      <c r="W10">
        <f t="shared" si="5"/>
        <v>0</v>
      </c>
      <c r="X10">
        <f t="shared" si="6"/>
        <v>0</v>
      </c>
      <c r="Y10">
        <f t="shared" si="7"/>
        <v>0</v>
      </c>
      <c r="Z10">
        <f t="shared" si="8"/>
        <v>0</v>
      </c>
      <c r="AA10">
        <f t="shared" si="9"/>
        <v>0</v>
      </c>
      <c r="AB10">
        <f t="shared" si="10"/>
        <v>0</v>
      </c>
      <c r="AC10">
        <f t="shared" si="11"/>
        <v>0</v>
      </c>
      <c r="AD10">
        <f t="shared" si="12"/>
        <v>0</v>
      </c>
      <c r="AE10">
        <f t="shared" si="13"/>
        <v>0</v>
      </c>
      <c r="AF10">
        <f t="shared" si="14"/>
        <v>0</v>
      </c>
      <c r="AG10">
        <f t="shared" si="15"/>
        <v>0</v>
      </c>
      <c r="AH10">
        <f t="shared" si="16"/>
        <v>0</v>
      </c>
      <c r="AI10">
        <f t="shared" si="17"/>
        <v>0</v>
      </c>
      <c r="AJ10">
        <f t="shared" si="18"/>
        <v>0</v>
      </c>
      <c r="AK10">
        <f t="shared" si="19"/>
        <v>0</v>
      </c>
      <c r="AL10">
        <f t="shared" si="20"/>
        <v>0</v>
      </c>
      <c r="AM10">
        <f t="shared" si="21"/>
        <v>0</v>
      </c>
      <c r="AN10">
        <f t="shared" si="22"/>
        <v>0</v>
      </c>
      <c r="AO10">
        <f t="shared" si="23"/>
        <v>0</v>
      </c>
      <c r="AP10">
        <f t="shared" si="24"/>
        <v>0</v>
      </c>
      <c r="AQ10">
        <f t="shared" si="25"/>
        <v>0</v>
      </c>
      <c r="AR10">
        <f t="shared" si="26"/>
        <v>0</v>
      </c>
      <c r="AS10">
        <f t="shared" si="27"/>
        <v>0</v>
      </c>
      <c r="AT10">
        <f t="shared" si="28"/>
        <v>0</v>
      </c>
      <c r="AU10">
        <f t="shared" si="29"/>
        <v>0</v>
      </c>
      <c r="AY10" s="5" t="s">
        <v>178</v>
      </c>
    </row>
    <row r="11" spans="1:51" ht="20.100000000000001" customHeight="1" x14ac:dyDescent="0.3">
      <c r="A11" s="25" t="s">
        <v>328</v>
      </c>
      <c r="B11" s="25" t="s">
        <v>327</v>
      </c>
      <c r="C11" s="24" t="s">
        <v>326</v>
      </c>
      <c r="D11" s="18">
        <v>2</v>
      </c>
      <c r="E11" s="18"/>
      <c r="F11" s="18"/>
      <c r="G11" s="18"/>
      <c r="H11" s="18"/>
      <c r="I11" s="18"/>
      <c r="J11" s="18"/>
      <c r="K11" s="18"/>
      <c r="L11" s="18"/>
      <c r="M11" s="24" t="s">
        <v>325</v>
      </c>
      <c r="O11" t="str">
        <f>""</f>
        <v/>
      </c>
      <c r="P11" s="5" t="s">
        <v>117</v>
      </c>
      <c r="Q11">
        <v>1</v>
      </c>
      <c r="R11">
        <f t="shared" si="0"/>
        <v>0</v>
      </c>
      <c r="S11">
        <f t="shared" si="1"/>
        <v>0</v>
      </c>
      <c r="T11">
        <f t="shared" si="2"/>
        <v>0</v>
      </c>
      <c r="U11">
        <f t="shared" si="3"/>
        <v>0</v>
      </c>
      <c r="V11">
        <f t="shared" si="4"/>
        <v>0</v>
      </c>
      <c r="W11">
        <f t="shared" si="5"/>
        <v>0</v>
      </c>
      <c r="X11">
        <f t="shared" si="6"/>
        <v>0</v>
      </c>
      <c r="Y11">
        <f t="shared" si="7"/>
        <v>0</v>
      </c>
      <c r="Z11">
        <f t="shared" si="8"/>
        <v>0</v>
      </c>
      <c r="AA11">
        <f t="shared" si="9"/>
        <v>0</v>
      </c>
      <c r="AB11">
        <f t="shared" si="10"/>
        <v>0</v>
      </c>
      <c r="AC11">
        <f t="shared" si="11"/>
        <v>0</v>
      </c>
      <c r="AD11">
        <f t="shared" si="12"/>
        <v>0</v>
      </c>
      <c r="AE11">
        <f t="shared" si="13"/>
        <v>0</v>
      </c>
      <c r="AF11">
        <f t="shared" si="14"/>
        <v>0</v>
      </c>
      <c r="AG11">
        <f t="shared" si="15"/>
        <v>0</v>
      </c>
      <c r="AH11">
        <f t="shared" si="16"/>
        <v>0</v>
      </c>
      <c r="AI11">
        <f t="shared" si="17"/>
        <v>0</v>
      </c>
      <c r="AJ11">
        <f t="shared" si="18"/>
        <v>0</v>
      </c>
      <c r="AK11">
        <f t="shared" si="19"/>
        <v>0</v>
      </c>
      <c r="AL11">
        <f t="shared" si="20"/>
        <v>0</v>
      </c>
      <c r="AM11">
        <f t="shared" si="21"/>
        <v>0</v>
      </c>
      <c r="AN11">
        <f t="shared" si="22"/>
        <v>0</v>
      </c>
      <c r="AO11">
        <f t="shared" si="23"/>
        <v>0</v>
      </c>
      <c r="AP11">
        <f t="shared" si="24"/>
        <v>0</v>
      </c>
      <c r="AQ11">
        <f t="shared" si="25"/>
        <v>0</v>
      </c>
      <c r="AR11">
        <f t="shared" si="26"/>
        <v>0</v>
      </c>
      <c r="AS11">
        <f t="shared" si="27"/>
        <v>0</v>
      </c>
      <c r="AT11">
        <f t="shared" si="28"/>
        <v>0</v>
      </c>
      <c r="AU11">
        <f t="shared" si="29"/>
        <v>0</v>
      </c>
      <c r="AY11" s="5" t="s">
        <v>178</v>
      </c>
    </row>
    <row r="12" spans="1:51" ht="20.100000000000001" customHeight="1" x14ac:dyDescent="0.3">
      <c r="A12" s="23"/>
      <c r="B12" s="23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21"/>
    </row>
    <row r="13" spans="1:51" ht="20.100000000000001" customHeight="1" x14ac:dyDescent="0.3">
      <c r="A13" s="23"/>
      <c r="B13" s="23"/>
      <c r="C13" s="21"/>
      <c r="D13" s="18"/>
      <c r="E13" s="18"/>
      <c r="F13" s="18"/>
      <c r="G13" s="18"/>
      <c r="H13" s="18"/>
      <c r="I13" s="18"/>
      <c r="J13" s="18"/>
      <c r="K13" s="18"/>
      <c r="L13" s="18"/>
      <c r="M13" s="21"/>
    </row>
    <row r="14" spans="1:51" ht="20.100000000000001" customHeight="1" x14ac:dyDescent="0.3">
      <c r="A14" s="23"/>
      <c r="B14" s="23"/>
      <c r="C14" s="21"/>
      <c r="D14" s="18"/>
      <c r="E14" s="18"/>
      <c r="F14" s="18"/>
      <c r="G14" s="18"/>
      <c r="H14" s="18"/>
      <c r="I14" s="18"/>
      <c r="J14" s="18"/>
      <c r="K14" s="18"/>
      <c r="L14" s="18"/>
      <c r="M14" s="21"/>
    </row>
    <row r="15" spans="1:51" ht="20.100000000000001" customHeight="1" x14ac:dyDescent="0.3">
      <c r="A15" s="23"/>
      <c r="B15" s="23"/>
      <c r="C15" s="21"/>
      <c r="D15" s="18"/>
      <c r="E15" s="18"/>
      <c r="F15" s="18"/>
      <c r="G15" s="18"/>
      <c r="H15" s="18"/>
      <c r="I15" s="18"/>
      <c r="J15" s="18"/>
      <c r="K15" s="18"/>
      <c r="L15" s="18"/>
      <c r="M15" s="21"/>
    </row>
    <row r="16" spans="1:51" ht="20.100000000000001" customHeight="1" x14ac:dyDescent="0.3">
      <c r="A16" s="23"/>
      <c r="B16" s="23"/>
      <c r="C16" s="21"/>
      <c r="D16" s="18"/>
      <c r="E16" s="18"/>
      <c r="F16" s="18"/>
      <c r="G16" s="18"/>
      <c r="H16" s="18"/>
      <c r="I16" s="18"/>
      <c r="J16" s="18"/>
      <c r="K16" s="18"/>
      <c r="L16" s="18"/>
      <c r="M16" s="21"/>
    </row>
    <row r="17" spans="1:51" ht="20.100000000000001" customHeight="1" x14ac:dyDescent="0.3">
      <c r="A17" s="23"/>
      <c r="B17" s="23"/>
      <c r="C17" s="21"/>
      <c r="D17" s="18"/>
      <c r="E17" s="18"/>
      <c r="F17" s="18"/>
      <c r="G17" s="18"/>
      <c r="H17" s="18"/>
      <c r="I17" s="18"/>
      <c r="J17" s="18"/>
      <c r="K17" s="18"/>
      <c r="L17" s="18"/>
      <c r="M17" s="21"/>
    </row>
    <row r="18" spans="1:51" ht="20.100000000000001" customHeight="1" x14ac:dyDescent="0.3">
      <c r="A18" s="23"/>
      <c r="B18" s="23"/>
      <c r="C18" s="21"/>
      <c r="D18" s="18"/>
      <c r="E18" s="18"/>
      <c r="F18" s="18"/>
      <c r="G18" s="18"/>
      <c r="H18" s="18"/>
      <c r="I18" s="18"/>
      <c r="J18" s="18"/>
      <c r="K18" s="18"/>
      <c r="L18" s="18"/>
      <c r="M18" s="21"/>
    </row>
    <row r="19" spans="1:51" ht="20.100000000000001" customHeight="1" x14ac:dyDescent="0.3">
      <c r="A19" s="23"/>
      <c r="B19" s="23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21"/>
    </row>
    <row r="20" spans="1:51" ht="20.100000000000001" customHeight="1" x14ac:dyDescent="0.3">
      <c r="A20" s="23"/>
      <c r="B20" s="23"/>
      <c r="C20" s="21"/>
      <c r="D20" s="18"/>
      <c r="E20" s="18"/>
      <c r="F20" s="18"/>
      <c r="G20" s="18"/>
      <c r="H20" s="18"/>
      <c r="I20" s="18"/>
      <c r="J20" s="18"/>
      <c r="K20" s="18"/>
      <c r="L20" s="18"/>
      <c r="M20" s="21"/>
    </row>
    <row r="21" spans="1:51" ht="20.100000000000001" customHeight="1" x14ac:dyDescent="0.3">
      <c r="A21" s="23"/>
      <c r="B21" s="23"/>
      <c r="C21" s="21"/>
      <c r="D21" s="18"/>
      <c r="E21" s="18"/>
      <c r="F21" s="18"/>
      <c r="G21" s="18"/>
      <c r="H21" s="18"/>
      <c r="I21" s="18"/>
      <c r="J21" s="18"/>
      <c r="K21" s="18"/>
      <c r="L21" s="18"/>
      <c r="M21" s="21"/>
    </row>
    <row r="22" spans="1:51" ht="20.100000000000001" customHeight="1" x14ac:dyDescent="0.3">
      <c r="A22" s="23"/>
      <c r="B22" s="23"/>
      <c r="C22" s="21"/>
      <c r="D22" s="18"/>
      <c r="E22" s="18"/>
      <c r="F22" s="18"/>
      <c r="G22" s="18"/>
      <c r="H22" s="18"/>
      <c r="I22" s="18"/>
      <c r="J22" s="18"/>
      <c r="K22" s="18"/>
      <c r="L22" s="18"/>
      <c r="M22" s="21"/>
    </row>
    <row r="23" spans="1:51" ht="20.100000000000001" customHeight="1" x14ac:dyDescent="0.3">
      <c r="A23" s="23"/>
      <c r="B23" s="23"/>
      <c r="C23" s="21"/>
      <c r="D23" s="18"/>
      <c r="E23" s="18"/>
      <c r="F23" s="18"/>
      <c r="G23" s="18"/>
      <c r="H23" s="18"/>
      <c r="I23" s="18"/>
      <c r="J23" s="18"/>
      <c r="K23" s="18"/>
      <c r="L23" s="18"/>
      <c r="M23" s="21"/>
    </row>
    <row r="24" spans="1:51" ht="20.100000000000001" customHeight="1" x14ac:dyDescent="0.3">
      <c r="A24" s="23"/>
      <c r="B24" s="23"/>
      <c r="C24" s="21"/>
      <c r="D24" s="18"/>
      <c r="E24" s="18"/>
      <c r="F24" s="18"/>
      <c r="G24" s="18"/>
      <c r="H24" s="18"/>
      <c r="I24" s="18"/>
      <c r="J24" s="18"/>
      <c r="K24" s="18"/>
      <c r="L24" s="18"/>
      <c r="M24" s="21"/>
    </row>
    <row r="25" spans="1:51" ht="20.100000000000001" customHeight="1" x14ac:dyDescent="0.3">
      <c r="A25" s="23"/>
      <c r="B25" s="23"/>
      <c r="C25" s="21"/>
      <c r="D25" s="18"/>
      <c r="E25" s="18"/>
      <c r="F25" s="18"/>
      <c r="G25" s="18"/>
      <c r="H25" s="18"/>
      <c r="I25" s="18"/>
      <c r="J25" s="18"/>
      <c r="K25" s="18"/>
      <c r="L25" s="18"/>
      <c r="M25" s="21"/>
    </row>
    <row r="26" spans="1:51" ht="20.100000000000001" customHeight="1" x14ac:dyDescent="0.3">
      <c r="A26" s="20" t="s">
        <v>68</v>
      </c>
      <c r="B26" s="6"/>
      <c r="C26" s="17"/>
      <c r="D26" s="4"/>
      <c r="E26" s="18"/>
      <c r="F26" s="4">
        <f>ROUNDDOWN(SUMIF(Q6:Q25, "1", F6:F25), 0)</f>
        <v>0</v>
      </c>
      <c r="G26" s="18"/>
      <c r="H26" s="4">
        <f>ROUNDDOWN(SUMIF(Q6:Q25, "1", H6:H25), 0)</f>
        <v>0</v>
      </c>
      <c r="I26" s="18"/>
      <c r="J26" s="4">
        <f>ROUNDDOWN(SUMIF(Q6:Q25, "1", J6:J25), 0)</f>
        <v>0</v>
      </c>
      <c r="K26" s="18"/>
      <c r="L26" s="4">
        <f>F26+H26+J26</f>
        <v>0</v>
      </c>
      <c r="M26" s="17"/>
      <c r="R26">
        <f t="shared" ref="R26:AY26" si="30">ROUNDDOWN(SUM(R6:R11), 0)</f>
        <v>0</v>
      </c>
      <c r="S26">
        <f t="shared" si="30"/>
        <v>0</v>
      </c>
      <c r="T26">
        <f t="shared" si="30"/>
        <v>0</v>
      </c>
      <c r="U26">
        <f t="shared" si="30"/>
        <v>0</v>
      </c>
      <c r="V26">
        <f t="shared" si="30"/>
        <v>0</v>
      </c>
      <c r="W26">
        <f t="shared" si="30"/>
        <v>0</v>
      </c>
      <c r="X26">
        <f t="shared" si="30"/>
        <v>0</v>
      </c>
      <c r="Y26">
        <f t="shared" si="30"/>
        <v>0</v>
      </c>
      <c r="Z26">
        <f t="shared" si="30"/>
        <v>0</v>
      </c>
      <c r="AA26">
        <f t="shared" si="30"/>
        <v>0</v>
      </c>
      <c r="AB26">
        <f t="shared" si="30"/>
        <v>0</v>
      </c>
      <c r="AC26">
        <f t="shared" si="30"/>
        <v>0</v>
      </c>
      <c r="AD26">
        <f t="shared" si="30"/>
        <v>0</v>
      </c>
      <c r="AE26">
        <f t="shared" si="30"/>
        <v>0</v>
      </c>
      <c r="AF26">
        <f t="shared" si="30"/>
        <v>0</v>
      </c>
      <c r="AG26">
        <f t="shared" si="30"/>
        <v>0</v>
      </c>
      <c r="AH26">
        <f t="shared" si="30"/>
        <v>0</v>
      </c>
      <c r="AI26">
        <f t="shared" si="30"/>
        <v>0</v>
      </c>
      <c r="AJ26">
        <f t="shared" si="30"/>
        <v>0</v>
      </c>
      <c r="AK26">
        <f t="shared" si="30"/>
        <v>0</v>
      </c>
      <c r="AL26">
        <f t="shared" si="30"/>
        <v>0</v>
      </c>
      <c r="AM26">
        <f t="shared" si="30"/>
        <v>0</v>
      </c>
      <c r="AN26">
        <f t="shared" si="30"/>
        <v>0</v>
      </c>
      <c r="AO26">
        <f t="shared" si="30"/>
        <v>0</v>
      </c>
      <c r="AP26">
        <f t="shared" si="30"/>
        <v>0</v>
      </c>
      <c r="AQ26">
        <f t="shared" si="30"/>
        <v>0</v>
      </c>
      <c r="AR26">
        <f t="shared" si="30"/>
        <v>0</v>
      </c>
      <c r="AS26">
        <f t="shared" si="30"/>
        <v>0</v>
      </c>
      <c r="AT26">
        <f t="shared" si="30"/>
        <v>0</v>
      </c>
      <c r="AU26">
        <f t="shared" si="30"/>
        <v>0</v>
      </c>
      <c r="AV26">
        <f t="shared" si="30"/>
        <v>0</v>
      </c>
      <c r="AW26">
        <f t="shared" si="30"/>
        <v>0</v>
      </c>
      <c r="AX26">
        <f t="shared" si="30"/>
        <v>0</v>
      </c>
      <c r="AY26">
        <f t="shared" si="30"/>
        <v>0</v>
      </c>
    </row>
    <row r="27" spans="1:51" ht="20.100000000000001" customHeight="1" x14ac:dyDescent="0.3">
      <c r="A27" s="67" t="s">
        <v>324</v>
      </c>
      <c r="B27" s="68"/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8"/>
    </row>
    <row r="28" spans="1:51" ht="20.100000000000001" customHeight="1" x14ac:dyDescent="0.3">
      <c r="A28" s="25" t="s">
        <v>323</v>
      </c>
      <c r="B28" s="25" t="s">
        <v>322</v>
      </c>
      <c r="C28" s="24" t="s">
        <v>207</v>
      </c>
      <c r="D28" s="18">
        <v>1</v>
      </c>
      <c r="E28" s="18"/>
      <c r="F28" s="18"/>
      <c r="G28" s="18"/>
      <c r="H28" s="18"/>
      <c r="I28" s="18"/>
      <c r="J28" s="18"/>
      <c r="K28" s="18"/>
      <c r="L28" s="18"/>
      <c r="M28" s="24" t="s">
        <v>321</v>
      </c>
      <c r="O28" t="str">
        <f>""</f>
        <v/>
      </c>
      <c r="P28" s="5" t="s">
        <v>117</v>
      </c>
      <c r="Q28">
        <v>1</v>
      </c>
      <c r="R28">
        <f t="shared" ref="R28:R38" si="31">IF(P28="기계경비", J28, 0)</f>
        <v>0</v>
      </c>
      <c r="S28">
        <f t="shared" ref="S28:S38" si="32">IF(P28="운반비", L28, 0)</f>
        <v>0</v>
      </c>
      <c r="T28">
        <f t="shared" ref="T28:T38" si="33">IF(P28="작업부산물", F28, 0)</f>
        <v>0</v>
      </c>
      <c r="U28">
        <f t="shared" ref="U28:U38" si="34">IF(P28="관급", F28, 0)</f>
        <v>0</v>
      </c>
      <c r="V28">
        <f t="shared" ref="V28:V38" si="35">IF(P28="외주비", J28, 0)</f>
        <v>0</v>
      </c>
      <c r="W28">
        <f t="shared" ref="W28:W38" si="36">IF(P28="장비비", J28, 0)</f>
        <v>0</v>
      </c>
      <c r="X28">
        <f t="shared" ref="X28:X38" si="37">IF(P28="폐기물처리비", L28, 0)</f>
        <v>0</v>
      </c>
      <c r="Y28">
        <f t="shared" ref="Y28:Y38" si="38">IF(P28="가설비", J28, 0)</f>
        <v>0</v>
      </c>
      <c r="Z28">
        <f t="shared" ref="Z28:Z38" si="39">IF(P28="잡비제외분", F28, 0)</f>
        <v>0</v>
      </c>
      <c r="AA28">
        <f t="shared" ref="AA28:AA38" si="40">IF(P28="사급자재대", L28, 0)</f>
        <v>0</v>
      </c>
      <c r="AB28">
        <f t="shared" ref="AB28:AB38" si="41">IF(P28="관급자재대", L28, 0)</f>
        <v>0</v>
      </c>
      <c r="AC28">
        <f t="shared" ref="AC28:AC38" si="42">IF(P28="관급자관급", L28, 0)</f>
        <v>0</v>
      </c>
      <c r="AD28">
        <f t="shared" ref="AD28:AD38" si="43">IF(P28="품질시험비", L28, 0)</f>
        <v>0</v>
      </c>
      <c r="AE28">
        <f t="shared" ref="AE28:AE38" si="44">IF(P28="수도광열비", L28, 0)</f>
        <v>0</v>
      </c>
      <c r="AF28">
        <f t="shared" ref="AF28:AF38" si="45">IF(P28="공기중석면농도측정비", L28, 0)</f>
        <v>0</v>
      </c>
      <c r="AG28">
        <f t="shared" ref="AG28:AG38" si="46">IF(P28="사용자항목5", L28, 0)</f>
        <v>0</v>
      </c>
      <c r="AH28">
        <f t="shared" ref="AH28:AH38" si="47">IF(P28="사용자항목6", L28, 0)</f>
        <v>0</v>
      </c>
      <c r="AI28">
        <f t="shared" ref="AI28:AI38" si="48">IF(P28="사용자항목7", L28, 0)</f>
        <v>0</v>
      </c>
      <c r="AJ28">
        <f t="shared" ref="AJ28:AJ38" si="49">IF(P28="관급자재대2", L28, 0)</f>
        <v>0</v>
      </c>
      <c r="AK28">
        <f t="shared" ref="AK28:AK38" si="50">IF(P28="작업부산물", L28, 0)</f>
        <v>0</v>
      </c>
      <c r="AL28">
        <f t="shared" ref="AL28:AL38" si="51">IF(P28="해체계획비및검토비", L28, 0)</f>
        <v>0</v>
      </c>
      <c r="AM28">
        <f t="shared" ref="AM28:AM38" si="52">IF(P28="사용자항목11", L28, 0)</f>
        <v>0</v>
      </c>
      <c r="AN28">
        <f t="shared" ref="AN28:AN38" si="53">IF(P28="사용자항목12", L28, 0)</f>
        <v>0</v>
      </c>
      <c r="AO28">
        <f t="shared" ref="AO28:AO38" si="54">IF(P28="사용자항목13", L28, 0)</f>
        <v>0</v>
      </c>
      <c r="AP28">
        <f t="shared" ref="AP28:AP38" si="55">IF(P28="사용자항목14", L28, 0)</f>
        <v>0</v>
      </c>
      <c r="AQ28">
        <f t="shared" ref="AQ28:AQ38" si="56">IF(P28="사용자항목15", L28, 0)</f>
        <v>0</v>
      </c>
      <c r="AR28">
        <f t="shared" ref="AR28:AR38" si="57">IF(P28="사용자항목16", L28, 0)</f>
        <v>0</v>
      </c>
      <c r="AS28">
        <f t="shared" ref="AS28:AS38" si="58">IF(P28="사용자항목17", L28, 0)</f>
        <v>0</v>
      </c>
      <c r="AT28">
        <f t="shared" ref="AT28:AT38" si="59">IF(P28="사용자항목18", L28, 0)</f>
        <v>0</v>
      </c>
      <c r="AU28">
        <f t="shared" ref="AU28:AU38" si="60">IF(P28="사용자항목19", L28, 0)</f>
        <v>0</v>
      </c>
    </row>
    <row r="29" spans="1:51" ht="20.100000000000001" customHeight="1" x14ac:dyDescent="0.3">
      <c r="A29" s="25" t="s">
        <v>320</v>
      </c>
      <c r="B29" s="25" t="s">
        <v>319</v>
      </c>
      <c r="C29" s="24" t="s">
        <v>207</v>
      </c>
      <c r="D29" s="18">
        <v>1</v>
      </c>
      <c r="E29" s="18"/>
      <c r="F29" s="18"/>
      <c r="G29" s="18"/>
      <c r="H29" s="18"/>
      <c r="I29" s="18"/>
      <c r="J29" s="18"/>
      <c r="K29" s="18"/>
      <c r="L29" s="18"/>
      <c r="M29" s="24" t="s">
        <v>318</v>
      </c>
      <c r="O29" t="str">
        <f>""</f>
        <v/>
      </c>
      <c r="P29" s="5" t="s">
        <v>117</v>
      </c>
      <c r="Q29">
        <v>1</v>
      </c>
      <c r="R29">
        <f t="shared" si="31"/>
        <v>0</v>
      </c>
      <c r="S29">
        <f t="shared" si="32"/>
        <v>0</v>
      </c>
      <c r="T29">
        <f t="shared" si="33"/>
        <v>0</v>
      </c>
      <c r="U29">
        <f t="shared" si="34"/>
        <v>0</v>
      </c>
      <c r="V29">
        <f t="shared" si="35"/>
        <v>0</v>
      </c>
      <c r="W29">
        <f t="shared" si="36"/>
        <v>0</v>
      </c>
      <c r="X29">
        <f t="shared" si="37"/>
        <v>0</v>
      </c>
      <c r="Y29">
        <f t="shared" si="38"/>
        <v>0</v>
      </c>
      <c r="Z29">
        <f t="shared" si="39"/>
        <v>0</v>
      </c>
      <c r="AA29">
        <f t="shared" si="40"/>
        <v>0</v>
      </c>
      <c r="AB29">
        <f t="shared" si="41"/>
        <v>0</v>
      </c>
      <c r="AC29">
        <f t="shared" si="42"/>
        <v>0</v>
      </c>
      <c r="AD29">
        <f t="shared" si="43"/>
        <v>0</v>
      </c>
      <c r="AE29">
        <f t="shared" si="44"/>
        <v>0</v>
      </c>
      <c r="AF29">
        <f t="shared" si="45"/>
        <v>0</v>
      </c>
      <c r="AG29">
        <f t="shared" si="46"/>
        <v>0</v>
      </c>
      <c r="AH29">
        <f t="shared" si="47"/>
        <v>0</v>
      </c>
      <c r="AI29">
        <f t="shared" si="48"/>
        <v>0</v>
      </c>
      <c r="AJ29">
        <f t="shared" si="49"/>
        <v>0</v>
      </c>
      <c r="AK29">
        <f t="shared" si="50"/>
        <v>0</v>
      </c>
      <c r="AL29">
        <f t="shared" si="51"/>
        <v>0</v>
      </c>
      <c r="AM29">
        <f t="shared" si="52"/>
        <v>0</v>
      </c>
      <c r="AN29">
        <f t="shared" si="53"/>
        <v>0</v>
      </c>
      <c r="AO29">
        <f t="shared" si="54"/>
        <v>0</v>
      </c>
      <c r="AP29">
        <f t="shared" si="55"/>
        <v>0</v>
      </c>
      <c r="AQ29">
        <f t="shared" si="56"/>
        <v>0</v>
      </c>
      <c r="AR29">
        <f t="shared" si="57"/>
        <v>0</v>
      </c>
      <c r="AS29">
        <f t="shared" si="58"/>
        <v>0</v>
      </c>
      <c r="AT29">
        <f t="shared" si="59"/>
        <v>0</v>
      </c>
      <c r="AU29">
        <f t="shared" si="60"/>
        <v>0</v>
      </c>
    </row>
    <row r="30" spans="1:51" ht="20.100000000000001" customHeight="1" x14ac:dyDescent="0.3">
      <c r="A30" s="25" t="s">
        <v>317</v>
      </c>
      <c r="B30" s="25" t="s">
        <v>316</v>
      </c>
      <c r="C30" s="24" t="s">
        <v>207</v>
      </c>
      <c r="D30" s="18">
        <v>1</v>
      </c>
      <c r="E30" s="18"/>
      <c r="F30" s="18"/>
      <c r="G30" s="18"/>
      <c r="H30" s="18"/>
      <c r="I30" s="18"/>
      <c r="J30" s="18"/>
      <c r="K30" s="18"/>
      <c r="L30" s="18"/>
      <c r="M30" s="24" t="s">
        <v>315</v>
      </c>
      <c r="O30" t="str">
        <f>""</f>
        <v/>
      </c>
      <c r="P30" s="5" t="s">
        <v>117</v>
      </c>
      <c r="Q30">
        <v>1</v>
      </c>
      <c r="R30">
        <f t="shared" si="31"/>
        <v>0</v>
      </c>
      <c r="S30">
        <f t="shared" si="32"/>
        <v>0</v>
      </c>
      <c r="T30">
        <f t="shared" si="33"/>
        <v>0</v>
      </c>
      <c r="U30">
        <f t="shared" si="34"/>
        <v>0</v>
      </c>
      <c r="V30">
        <f t="shared" si="35"/>
        <v>0</v>
      </c>
      <c r="W30">
        <f t="shared" si="36"/>
        <v>0</v>
      </c>
      <c r="X30">
        <f t="shared" si="37"/>
        <v>0</v>
      </c>
      <c r="Y30">
        <f t="shared" si="38"/>
        <v>0</v>
      </c>
      <c r="Z30">
        <f t="shared" si="39"/>
        <v>0</v>
      </c>
      <c r="AA30">
        <f t="shared" si="40"/>
        <v>0</v>
      </c>
      <c r="AB30">
        <f t="shared" si="41"/>
        <v>0</v>
      </c>
      <c r="AC30">
        <f t="shared" si="42"/>
        <v>0</v>
      </c>
      <c r="AD30">
        <f t="shared" si="43"/>
        <v>0</v>
      </c>
      <c r="AE30">
        <f t="shared" si="44"/>
        <v>0</v>
      </c>
      <c r="AF30">
        <f t="shared" si="45"/>
        <v>0</v>
      </c>
      <c r="AG30">
        <f t="shared" si="46"/>
        <v>0</v>
      </c>
      <c r="AH30">
        <f t="shared" si="47"/>
        <v>0</v>
      </c>
      <c r="AI30">
        <f t="shared" si="48"/>
        <v>0</v>
      </c>
      <c r="AJ30">
        <f t="shared" si="49"/>
        <v>0</v>
      </c>
      <c r="AK30">
        <f t="shared" si="50"/>
        <v>0</v>
      </c>
      <c r="AL30">
        <f t="shared" si="51"/>
        <v>0</v>
      </c>
      <c r="AM30">
        <f t="shared" si="52"/>
        <v>0</v>
      </c>
      <c r="AN30">
        <f t="shared" si="53"/>
        <v>0</v>
      </c>
      <c r="AO30">
        <f t="shared" si="54"/>
        <v>0</v>
      </c>
      <c r="AP30">
        <f t="shared" si="55"/>
        <v>0</v>
      </c>
      <c r="AQ30">
        <f t="shared" si="56"/>
        <v>0</v>
      </c>
      <c r="AR30">
        <f t="shared" si="57"/>
        <v>0</v>
      </c>
      <c r="AS30">
        <f t="shared" si="58"/>
        <v>0</v>
      </c>
      <c r="AT30">
        <f t="shared" si="59"/>
        <v>0</v>
      </c>
      <c r="AU30">
        <f t="shared" si="60"/>
        <v>0</v>
      </c>
    </row>
    <row r="31" spans="1:51" ht="20.100000000000001" customHeight="1" x14ac:dyDescent="0.3">
      <c r="A31" s="25" t="s">
        <v>314</v>
      </c>
      <c r="B31" s="25" t="s">
        <v>313</v>
      </c>
      <c r="C31" s="24" t="s">
        <v>310</v>
      </c>
      <c r="D31" s="18">
        <v>3</v>
      </c>
      <c r="E31" s="18"/>
      <c r="F31" s="18"/>
      <c r="G31" s="18"/>
      <c r="H31" s="18"/>
      <c r="I31" s="18"/>
      <c r="J31" s="18"/>
      <c r="K31" s="18"/>
      <c r="L31" s="18"/>
      <c r="M31" s="21"/>
      <c r="O31" t="str">
        <f>"01"</f>
        <v>01</v>
      </c>
      <c r="P31" s="5" t="s">
        <v>117</v>
      </c>
      <c r="Q31">
        <v>1</v>
      </c>
      <c r="R31">
        <f t="shared" si="31"/>
        <v>0</v>
      </c>
      <c r="S31">
        <f t="shared" si="32"/>
        <v>0</v>
      </c>
      <c r="T31">
        <f t="shared" si="33"/>
        <v>0</v>
      </c>
      <c r="U31">
        <f t="shared" si="34"/>
        <v>0</v>
      </c>
      <c r="V31">
        <f t="shared" si="35"/>
        <v>0</v>
      </c>
      <c r="W31">
        <f t="shared" si="36"/>
        <v>0</v>
      </c>
      <c r="X31">
        <f t="shared" si="37"/>
        <v>0</v>
      </c>
      <c r="Y31">
        <f t="shared" si="38"/>
        <v>0</v>
      </c>
      <c r="Z31">
        <f t="shared" si="39"/>
        <v>0</v>
      </c>
      <c r="AA31">
        <f t="shared" si="40"/>
        <v>0</v>
      </c>
      <c r="AB31">
        <f t="shared" si="41"/>
        <v>0</v>
      </c>
      <c r="AC31">
        <f t="shared" si="42"/>
        <v>0</v>
      </c>
      <c r="AD31">
        <f t="shared" si="43"/>
        <v>0</v>
      </c>
      <c r="AE31">
        <f t="shared" si="44"/>
        <v>0</v>
      </c>
      <c r="AF31">
        <f t="shared" si="45"/>
        <v>0</v>
      </c>
      <c r="AG31">
        <f t="shared" si="46"/>
        <v>0</v>
      </c>
      <c r="AH31">
        <f t="shared" si="47"/>
        <v>0</v>
      </c>
      <c r="AI31">
        <f t="shared" si="48"/>
        <v>0</v>
      </c>
      <c r="AJ31">
        <f t="shared" si="49"/>
        <v>0</v>
      </c>
      <c r="AK31">
        <f t="shared" si="50"/>
        <v>0</v>
      </c>
      <c r="AL31">
        <f t="shared" si="51"/>
        <v>0</v>
      </c>
      <c r="AM31">
        <f t="shared" si="52"/>
        <v>0</v>
      </c>
      <c r="AN31">
        <f t="shared" si="53"/>
        <v>0</v>
      </c>
      <c r="AO31">
        <f t="shared" si="54"/>
        <v>0</v>
      </c>
      <c r="AP31">
        <f t="shared" si="55"/>
        <v>0</v>
      </c>
      <c r="AQ31">
        <f t="shared" si="56"/>
        <v>0</v>
      </c>
      <c r="AR31">
        <f t="shared" si="57"/>
        <v>0</v>
      </c>
      <c r="AS31">
        <f t="shared" si="58"/>
        <v>0</v>
      </c>
      <c r="AT31">
        <f t="shared" si="59"/>
        <v>0</v>
      </c>
      <c r="AU31">
        <f t="shared" si="60"/>
        <v>0</v>
      </c>
    </row>
    <row r="32" spans="1:51" ht="20.100000000000001" customHeight="1" x14ac:dyDescent="0.3">
      <c r="A32" s="25" t="s">
        <v>312</v>
      </c>
      <c r="B32" s="25" t="s">
        <v>311</v>
      </c>
      <c r="C32" s="24" t="s">
        <v>310</v>
      </c>
      <c r="D32" s="18">
        <v>2</v>
      </c>
      <c r="E32" s="18"/>
      <c r="F32" s="18"/>
      <c r="G32" s="18"/>
      <c r="H32" s="18"/>
      <c r="I32" s="18"/>
      <c r="J32" s="18"/>
      <c r="K32" s="18"/>
      <c r="L32" s="18"/>
      <c r="M32" s="24" t="s">
        <v>309</v>
      </c>
      <c r="O32" t="str">
        <f>""</f>
        <v/>
      </c>
      <c r="P32" s="5" t="s">
        <v>117</v>
      </c>
      <c r="Q32">
        <v>1</v>
      </c>
      <c r="R32">
        <f t="shared" si="31"/>
        <v>0</v>
      </c>
      <c r="S32">
        <f t="shared" si="32"/>
        <v>0</v>
      </c>
      <c r="T32">
        <f t="shared" si="33"/>
        <v>0</v>
      </c>
      <c r="U32">
        <f t="shared" si="34"/>
        <v>0</v>
      </c>
      <c r="V32">
        <f t="shared" si="35"/>
        <v>0</v>
      </c>
      <c r="W32">
        <f t="shared" si="36"/>
        <v>0</v>
      </c>
      <c r="X32">
        <f t="shared" si="37"/>
        <v>0</v>
      </c>
      <c r="Y32">
        <f t="shared" si="38"/>
        <v>0</v>
      </c>
      <c r="Z32">
        <f t="shared" si="39"/>
        <v>0</v>
      </c>
      <c r="AA32">
        <f t="shared" si="40"/>
        <v>0</v>
      </c>
      <c r="AB32">
        <f t="shared" si="41"/>
        <v>0</v>
      </c>
      <c r="AC32">
        <f t="shared" si="42"/>
        <v>0</v>
      </c>
      <c r="AD32">
        <f t="shared" si="43"/>
        <v>0</v>
      </c>
      <c r="AE32">
        <f t="shared" si="44"/>
        <v>0</v>
      </c>
      <c r="AF32">
        <f t="shared" si="45"/>
        <v>0</v>
      </c>
      <c r="AG32">
        <f t="shared" si="46"/>
        <v>0</v>
      </c>
      <c r="AH32">
        <f t="shared" si="47"/>
        <v>0</v>
      </c>
      <c r="AI32">
        <f t="shared" si="48"/>
        <v>0</v>
      </c>
      <c r="AJ32">
        <f t="shared" si="49"/>
        <v>0</v>
      </c>
      <c r="AK32">
        <f t="shared" si="50"/>
        <v>0</v>
      </c>
      <c r="AL32">
        <f t="shared" si="51"/>
        <v>0</v>
      </c>
      <c r="AM32">
        <f t="shared" si="52"/>
        <v>0</v>
      </c>
      <c r="AN32">
        <f t="shared" si="53"/>
        <v>0</v>
      </c>
      <c r="AO32">
        <f t="shared" si="54"/>
        <v>0</v>
      </c>
      <c r="AP32">
        <f t="shared" si="55"/>
        <v>0</v>
      </c>
      <c r="AQ32">
        <f t="shared" si="56"/>
        <v>0</v>
      </c>
      <c r="AR32">
        <f t="shared" si="57"/>
        <v>0</v>
      </c>
      <c r="AS32">
        <f t="shared" si="58"/>
        <v>0</v>
      </c>
      <c r="AT32">
        <f t="shared" si="59"/>
        <v>0</v>
      </c>
      <c r="AU32">
        <f t="shared" si="60"/>
        <v>0</v>
      </c>
      <c r="AY32" s="5" t="s">
        <v>178</v>
      </c>
    </row>
    <row r="33" spans="1:51" ht="20.100000000000001" customHeight="1" x14ac:dyDescent="0.3">
      <c r="A33" s="25" t="s">
        <v>308</v>
      </c>
      <c r="B33" s="25" t="s">
        <v>307</v>
      </c>
      <c r="C33" s="24" t="s">
        <v>207</v>
      </c>
      <c r="D33" s="18">
        <v>2</v>
      </c>
      <c r="E33" s="18"/>
      <c r="F33" s="18"/>
      <c r="G33" s="18"/>
      <c r="H33" s="18"/>
      <c r="I33" s="18"/>
      <c r="J33" s="18"/>
      <c r="K33" s="18"/>
      <c r="L33" s="18"/>
      <c r="M33" s="24" t="s">
        <v>306</v>
      </c>
      <c r="O33" t="str">
        <f>""</f>
        <v/>
      </c>
      <c r="P33" s="5" t="s">
        <v>117</v>
      </c>
      <c r="Q33">
        <v>1</v>
      </c>
      <c r="R33">
        <f t="shared" si="31"/>
        <v>0</v>
      </c>
      <c r="S33">
        <f t="shared" si="32"/>
        <v>0</v>
      </c>
      <c r="T33">
        <f t="shared" si="33"/>
        <v>0</v>
      </c>
      <c r="U33">
        <f t="shared" si="34"/>
        <v>0</v>
      </c>
      <c r="V33">
        <f t="shared" si="35"/>
        <v>0</v>
      </c>
      <c r="W33">
        <f t="shared" si="36"/>
        <v>0</v>
      </c>
      <c r="X33">
        <f t="shared" si="37"/>
        <v>0</v>
      </c>
      <c r="Y33">
        <f t="shared" si="38"/>
        <v>0</v>
      </c>
      <c r="Z33">
        <f t="shared" si="39"/>
        <v>0</v>
      </c>
      <c r="AA33">
        <f t="shared" si="40"/>
        <v>0</v>
      </c>
      <c r="AB33">
        <f t="shared" si="41"/>
        <v>0</v>
      </c>
      <c r="AC33">
        <f t="shared" si="42"/>
        <v>0</v>
      </c>
      <c r="AD33">
        <f t="shared" si="43"/>
        <v>0</v>
      </c>
      <c r="AE33">
        <f t="shared" si="44"/>
        <v>0</v>
      </c>
      <c r="AF33">
        <f t="shared" si="45"/>
        <v>0</v>
      </c>
      <c r="AG33">
        <f t="shared" si="46"/>
        <v>0</v>
      </c>
      <c r="AH33">
        <f t="shared" si="47"/>
        <v>0</v>
      </c>
      <c r="AI33">
        <f t="shared" si="48"/>
        <v>0</v>
      </c>
      <c r="AJ33">
        <f t="shared" si="49"/>
        <v>0</v>
      </c>
      <c r="AK33">
        <f t="shared" si="50"/>
        <v>0</v>
      </c>
      <c r="AL33">
        <f t="shared" si="51"/>
        <v>0</v>
      </c>
      <c r="AM33">
        <f t="shared" si="52"/>
        <v>0</v>
      </c>
      <c r="AN33">
        <f t="shared" si="53"/>
        <v>0</v>
      </c>
      <c r="AO33">
        <f t="shared" si="54"/>
        <v>0</v>
      </c>
      <c r="AP33">
        <f t="shared" si="55"/>
        <v>0</v>
      </c>
      <c r="AQ33">
        <f t="shared" si="56"/>
        <v>0</v>
      </c>
      <c r="AR33">
        <f t="shared" si="57"/>
        <v>0</v>
      </c>
      <c r="AS33">
        <f t="shared" si="58"/>
        <v>0</v>
      </c>
      <c r="AT33">
        <f t="shared" si="59"/>
        <v>0</v>
      </c>
      <c r="AU33">
        <f t="shared" si="60"/>
        <v>0</v>
      </c>
    </row>
    <row r="34" spans="1:51" ht="20.100000000000001" customHeight="1" x14ac:dyDescent="0.3">
      <c r="A34" s="25" t="s">
        <v>305</v>
      </c>
      <c r="B34" s="25" t="s">
        <v>304</v>
      </c>
      <c r="C34" s="24" t="s">
        <v>152</v>
      </c>
      <c r="D34" s="18">
        <v>2</v>
      </c>
      <c r="E34" s="18"/>
      <c r="F34" s="18"/>
      <c r="G34" s="18"/>
      <c r="H34" s="18"/>
      <c r="I34" s="18"/>
      <c r="J34" s="18"/>
      <c r="K34" s="18"/>
      <c r="L34" s="18"/>
      <c r="M34" s="21"/>
      <c r="O34" t="str">
        <f>"01"</f>
        <v>01</v>
      </c>
      <c r="P34" s="5" t="s">
        <v>117</v>
      </c>
      <c r="Q34">
        <v>1</v>
      </c>
      <c r="R34">
        <f t="shared" si="31"/>
        <v>0</v>
      </c>
      <c r="S34">
        <f t="shared" si="32"/>
        <v>0</v>
      </c>
      <c r="T34">
        <f t="shared" si="33"/>
        <v>0</v>
      </c>
      <c r="U34">
        <f t="shared" si="34"/>
        <v>0</v>
      </c>
      <c r="V34">
        <f t="shared" si="35"/>
        <v>0</v>
      </c>
      <c r="W34">
        <f t="shared" si="36"/>
        <v>0</v>
      </c>
      <c r="X34">
        <f t="shared" si="37"/>
        <v>0</v>
      </c>
      <c r="Y34">
        <f t="shared" si="38"/>
        <v>0</v>
      </c>
      <c r="Z34">
        <f t="shared" si="39"/>
        <v>0</v>
      </c>
      <c r="AA34">
        <f t="shared" si="40"/>
        <v>0</v>
      </c>
      <c r="AB34">
        <f t="shared" si="41"/>
        <v>0</v>
      </c>
      <c r="AC34">
        <f t="shared" si="42"/>
        <v>0</v>
      </c>
      <c r="AD34">
        <f t="shared" si="43"/>
        <v>0</v>
      </c>
      <c r="AE34">
        <f t="shared" si="44"/>
        <v>0</v>
      </c>
      <c r="AF34">
        <f t="shared" si="45"/>
        <v>0</v>
      </c>
      <c r="AG34">
        <f t="shared" si="46"/>
        <v>0</v>
      </c>
      <c r="AH34">
        <f t="shared" si="47"/>
        <v>0</v>
      </c>
      <c r="AI34">
        <f t="shared" si="48"/>
        <v>0</v>
      </c>
      <c r="AJ34">
        <f t="shared" si="49"/>
        <v>0</v>
      </c>
      <c r="AK34">
        <f t="shared" si="50"/>
        <v>0</v>
      </c>
      <c r="AL34">
        <f t="shared" si="51"/>
        <v>0</v>
      </c>
      <c r="AM34">
        <f t="shared" si="52"/>
        <v>0</v>
      </c>
      <c r="AN34">
        <f t="shared" si="53"/>
        <v>0</v>
      </c>
      <c r="AO34">
        <f t="shared" si="54"/>
        <v>0</v>
      </c>
      <c r="AP34">
        <f t="shared" si="55"/>
        <v>0</v>
      </c>
      <c r="AQ34">
        <f t="shared" si="56"/>
        <v>0</v>
      </c>
      <c r="AR34">
        <f t="shared" si="57"/>
        <v>0</v>
      </c>
      <c r="AS34">
        <f t="shared" si="58"/>
        <v>0</v>
      </c>
      <c r="AT34">
        <f t="shared" si="59"/>
        <v>0</v>
      </c>
      <c r="AU34">
        <f t="shared" si="60"/>
        <v>0</v>
      </c>
    </row>
    <row r="35" spans="1:51" ht="20.100000000000001" customHeight="1" x14ac:dyDescent="0.3">
      <c r="A35" s="25" t="s">
        <v>303</v>
      </c>
      <c r="B35" s="25" t="s">
        <v>302</v>
      </c>
      <c r="C35" s="24" t="s">
        <v>207</v>
      </c>
      <c r="D35" s="18">
        <v>1</v>
      </c>
      <c r="E35" s="18"/>
      <c r="F35" s="18"/>
      <c r="G35" s="18"/>
      <c r="H35" s="18"/>
      <c r="I35" s="18"/>
      <c r="J35" s="18"/>
      <c r="K35" s="18"/>
      <c r="L35" s="18"/>
      <c r="M35" s="24" t="s">
        <v>301</v>
      </c>
      <c r="O35" t="str">
        <f>""</f>
        <v/>
      </c>
      <c r="P35" s="5" t="s">
        <v>117</v>
      </c>
      <c r="Q35">
        <v>1</v>
      </c>
      <c r="R35">
        <f t="shared" si="31"/>
        <v>0</v>
      </c>
      <c r="S35">
        <f t="shared" si="32"/>
        <v>0</v>
      </c>
      <c r="T35">
        <f t="shared" si="33"/>
        <v>0</v>
      </c>
      <c r="U35">
        <f t="shared" si="34"/>
        <v>0</v>
      </c>
      <c r="V35">
        <f t="shared" si="35"/>
        <v>0</v>
      </c>
      <c r="W35">
        <f t="shared" si="36"/>
        <v>0</v>
      </c>
      <c r="X35">
        <f t="shared" si="37"/>
        <v>0</v>
      </c>
      <c r="Y35">
        <f t="shared" si="38"/>
        <v>0</v>
      </c>
      <c r="Z35">
        <f t="shared" si="39"/>
        <v>0</v>
      </c>
      <c r="AA35">
        <f t="shared" si="40"/>
        <v>0</v>
      </c>
      <c r="AB35">
        <f t="shared" si="41"/>
        <v>0</v>
      </c>
      <c r="AC35">
        <f t="shared" si="42"/>
        <v>0</v>
      </c>
      <c r="AD35">
        <f t="shared" si="43"/>
        <v>0</v>
      </c>
      <c r="AE35">
        <f t="shared" si="44"/>
        <v>0</v>
      </c>
      <c r="AF35">
        <f t="shared" si="45"/>
        <v>0</v>
      </c>
      <c r="AG35">
        <f t="shared" si="46"/>
        <v>0</v>
      </c>
      <c r="AH35">
        <f t="shared" si="47"/>
        <v>0</v>
      </c>
      <c r="AI35">
        <f t="shared" si="48"/>
        <v>0</v>
      </c>
      <c r="AJ35">
        <f t="shared" si="49"/>
        <v>0</v>
      </c>
      <c r="AK35">
        <f t="shared" si="50"/>
        <v>0</v>
      </c>
      <c r="AL35">
        <f t="shared" si="51"/>
        <v>0</v>
      </c>
      <c r="AM35">
        <f t="shared" si="52"/>
        <v>0</v>
      </c>
      <c r="AN35">
        <f t="shared" si="53"/>
        <v>0</v>
      </c>
      <c r="AO35">
        <f t="shared" si="54"/>
        <v>0</v>
      </c>
      <c r="AP35">
        <f t="shared" si="55"/>
        <v>0</v>
      </c>
      <c r="AQ35">
        <f t="shared" si="56"/>
        <v>0</v>
      </c>
      <c r="AR35">
        <f t="shared" si="57"/>
        <v>0</v>
      </c>
      <c r="AS35">
        <f t="shared" si="58"/>
        <v>0</v>
      </c>
      <c r="AT35">
        <f t="shared" si="59"/>
        <v>0</v>
      </c>
      <c r="AU35">
        <f t="shared" si="60"/>
        <v>0</v>
      </c>
      <c r="AY35" s="5" t="s">
        <v>178</v>
      </c>
    </row>
    <row r="36" spans="1:51" ht="20.100000000000001" customHeight="1" x14ac:dyDescent="0.3">
      <c r="A36" s="25" t="s">
        <v>300</v>
      </c>
      <c r="B36" s="25" t="s">
        <v>299</v>
      </c>
      <c r="C36" s="24" t="s">
        <v>285</v>
      </c>
      <c r="D36" s="18">
        <v>1.7</v>
      </c>
      <c r="E36" s="18"/>
      <c r="F36" s="18"/>
      <c r="G36" s="18"/>
      <c r="H36" s="18"/>
      <c r="I36" s="18"/>
      <c r="J36" s="18"/>
      <c r="K36" s="18"/>
      <c r="L36" s="18"/>
      <c r="M36" s="24" t="s">
        <v>298</v>
      </c>
      <c r="O36" t="str">
        <f>""</f>
        <v/>
      </c>
      <c r="P36" s="5" t="s">
        <v>117</v>
      </c>
      <c r="Q36">
        <v>1</v>
      </c>
      <c r="R36">
        <f t="shared" si="31"/>
        <v>0</v>
      </c>
      <c r="S36">
        <f t="shared" si="32"/>
        <v>0</v>
      </c>
      <c r="T36">
        <f t="shared" si="33"/>
        <v>0</v>
      </c>
      <c r="U36">
        <f t="shared" si="34"/>
        <v>0</v>
      </c>
      <c r="V36">
        <f t="shared" si="35"/>
        <v>0</v>
      </c>
      <c r="W36">
        <f t="shared" si="36"/>
        <v>0</v>
      </c>
      <c r="X36">
        <f t="shared" si="37"/>
        <v>0</v>
      </c>
      <c r="Y36">
        <f t="shared" si="38"/>
        <v>0</v>
      </c>
      <c r="Z36">
        <f t="shared" si="39"/>
        <v>0</v>
      </c>
      <c r="AA36">
        <f t="shared" si="40"/>
        <v>0</v>
      </c>
      <c r="AB36">
        <f t="shared" si="41"/>
        <v>0</v>
      </c>
      <c r="AC36">
        <f t="shared" si="42"/>
        <v>0</v>
      </c>
      <c r="AD36">
        <f t="shared" si="43"/>
        <v>0</v>
      </c>
      <c r="AE36">
        <f t="shared" si="44"/>
        <v>0</v>
      </c>
      <c r="AF36">
        <f t="shared" si="45"/>
        <v>0</v>
      </c>
      <c r="AG36">
        <f t="shared" si="46"/>
        <v>0</v>
      </c>
      <c r="AH36">
        <f t="shared" si="47"/>
        <v>0</v>
      </c>
      <c r="AI36">
        <f t="shared" si="48"/>
        <v>0</v>
      </c>
      <c r="AJ36">
        <f t="shared" si="49"/>
        <v>0</v>
      </c>
      <c r="AK36">
        <f t="shared" si="50"/>
        <v>0</v>
      </c>
      <c r="AL36">
        <f t="shared" si="51"/>
        <v>0</v>
      </c>
      <c r="AM36">
        <f t="shared" si="52"/>
        <v>0</v>
      </c>
      <c r="AN36">
        <f t="shared" si="53"/>
        <v>0</v>
      </c>
      <c r="AO36">
        <f t="shared" si="54"/>
        <v>0</v>
      </c>
      <c r="AP36">
        <f t="shared" si="55"/>
        <v>0</v>
      </c>
      <c r="AQ36">
        <f t="shared" si="56"/>
        <v>0</v>
      </c>
      <c r="AR36">
        <f t="shared" si="57"/>
        <v>0</v>
      </c>
      <c r="AS36">
        <f t="shared" si="58"/>
        <v>0</v>
      </c>
      <c r="AT36">
        <f t="shared" si="59"/>
        <v>0</v>
      </c>
      <c r="AU36">
        <f t="shared" si="60"/>
        <v>0</v>
      </c>
    </row>
    <row r="37" spans="1:51" ht="20.100000000000001" customHeight="1" x14ac:dyDescent="0.3">
      <c r="A37" s="25" t="s">
        <v>297</v>
      </c>
      <c r="B37" s="25" t="s">
        <v>296</v>
      </c>
      <c r="C37" s="24" t="s">
        <v>186</v>
      </c>
      <c r="D37" s="18">
        <v>22</v>
      </c>
      <c r="E37" s="18"/>
      <c r="F37" s="18"/>
      <c r="G37" s="18"/>
      <c r="H37" s="18"/>
      <c r="I37" s="18"/>
      <c r="J37" s="18"/>
      <c r="K37" s="18"/>
      <c r="L37" s="18"/>
      <c r="M37" s="24" t="s">
        <v>295</v>
      </c>
      <c r="O37" t="str">
        <f>""</f>
        <v/>
      </c>
      <c r="P37" s="5" t="s">
        <v>117</v>
      </c>
      <c r="Q37">
        <v>1</v>
      </c>
      <c r="R37">
        <f t="shared" si="31"/>
        <v>0</v>
      </c>
      <c r="S37">
        <f t="shared" si="32"/>
        <v>0</v>
      </c>
      <c r="T37">
        <f t="shared" si="33"/>
        <v>0</v>
      </c>
      <c r="U37">
        <f t="shared" si="34"/>
        <v>0</v>
      </c>
      <c r="V37">
        <f t="shared" si="35"/>
        <v>0</v>
      </c>
      <c r="W37">
        <f t="shared" si="36"/>
        <v>0</v>
      </c>
      <c r="X37">
        <f t="shared" si="37"/>
        <v>0</v>
      </c>
      <c r="Y37">
        <f t="shared" si="38"/>
        <v>0</v>
      </c>
      <c r="Z37">
        <f t="shared" si="39"/>
        <v>0</v>
      </c>
      <c r="AA37">
        <f t="shared" si="40"/>
        <v>0</v>
      </c>
      <c r="AB37">
        <f t="shared" si="41"/>
        <v>0</v>
      </c>
      <c r="AC37">
        <f t="shared" si="42"/>
        <v>0</v>
      </c>
      <c r="AD37">
        <f t="shared" si="43"/>
        <v>0</v>
      </c>
      <c r="AE37">
        <f t="shared" si="44"/>
        <v>0</v>
      </c>
      <c r="AF37">
        <f t="shared" si="45"/>
        <v>0</v>
      </c>
      <c r="AG37">
        <f t="shared" si="46"/>
        <v>0</v>
      </c>
      <c r="AH37">
        <f t="shared" si="47"/>
        <v>0</v>
      </c>
      <c r="AI37">
        <f t="shared" si="48"/>
        <v>0</v>
      </c>
      <c r="AJ37">
        <f t="shared" si="49"/>
        <v>0</v>
      </c>
      <c r="AK37">
        <f t="shared" si="50"/>
        <v>0</v>
      </c>
      <c r="AL37">
        <f t="shared" si="51"/>
        <v>0</v>
      </c>
      <c r="AM37">
        <f t="shared" si="52"/>
        <v>0</v>
      </c>
      <c r="AN37">
        <f t="shared" si="53"/>
        <v>0</v>
      </c>
      <c r="AO37">
        <f t="shared" si="54"/>
        <v>0</v>
      </c>
      <c r="AP37">
        <f t="shared" si="55"/>
        <v>0</v>
      </c>
      <c r="AQ37">
        <f t="shared" si="56"/>
        <v>0</v>
      </c>
      <c r="AR37">
        <f t="shared" si="57"/>
        <v>0</v>
      </c>
      <c r="AS37">
        <f t="shared" si="58"/>
        <v>0</v>
      </c>
      <c r="AT37">
        <f t="shared" si="59"/>
        <v>0</v>
      </c>
      <c r="AU37">
        <f t="shared" si="60"/>
        <v>0</v>
      </c>
    </row>
    <row r="38" spans="1:51" ht="20.100000000000001" customHeight="1" x14ac:dyDescent="0.3">
      <c r="A38" s="25" t="s">
        <v>294</v>
      </c>
      <c r="B38" s="23"/>
      <c r="C38" s="24" t="s">
        <v>186</v>
      </c>
      <c r="D38" s="18">
        <v>11</v>
      </c>
      <c r="E38" s="18"/>
      <c r="F38" s="18"/>
      <c r="G38" s="18"/>
      <c r="H38" s="18"/>
      <c r="I38" s="18"/>
      <c r="J38" s="18"/>
      <c r="K38" s="18"/>
      <c r="L38" s="18"/>
      <c r="M38" s="24" t="s">
        <v>293</v>
      </c>
      <c r="O38" t="str">
        <f>""</f>
        <v/>
      </c>
      <c r="P38" s="5" t="s">
        <v>117</v>
      </c>
      <c r="Q38">
        <v>1</v>
      </c>
      <c r="R38">
        <f t="shared" si="31"/>
        <v>0</v>
      </c>
      <c r="S38">
        <f t="shared" si="32"/>
        <v>0</v>
      </c>
      <c r="T38">
        <f t="shared" si="33"/>
        <v>0</v>
      </c>
      <c r="U38">
        <f t="shared" si="34"/>
        <v>0</v>
      </c>
      <c r="V38">
        <f t="shared" si="35"/>
        <v>0</v>
      </c>
      <c r="W38">
        <f t="shared" si="36"/>
        <v>0</v>
      </c>
      <c r="X38">
        <f t="shared" si="37"/>
        <v>0</v>
      </c>
      <c r="Y38">
        <f t="shared" si="38"/>
        <v>0</v>
      </c>
      <c r="Z38">
        <f t="shared" si="39"/>
        <v>0</v>
      </c>
      <c r="AA38">
        <f t="shared" si="40"/>
        <v>0</v>
      </c>
      <c r="AB38">
        <f t="shared" si="41"/>
        <v>0</v>
      </c>
      <c r="AC38">
        <f t="shared" si="42"/>
        <v>0</v>
      </c>
      <c r="AD38">
        <f t="shared" si="43"/>
        <v>0</v>
      </c>
      <c r="AE38">
        <f t="shared" si="44"/>
        <v>0</v>
      </c>
      <c r="AF38">
        <f t="shared" si="45"/>
        <v>0</v>
      </c>
      <c r="AG38">
        <f t="shared" si="46"/>
        <v>0</v>
      </c>
      <c r="AH38">
        <f t="shared" si="47"/>
        <v>0</v>
      </c>
      <c r="AI38">
        <f t="shared" si="48"/>
        <v>0</v>
      </c>
      <c r="AJ38">
        <f t="shared" si="49"/>
        <v>0</v>
      </c>
      <c r="AK38">
        <f t="shared" si="50"/>
        <v>0</v>
      </c>
      <c r="AL38">
        <f t="shared" si="51"/>
        <v>0</v>
      </c>
      <c r="AM38">
        <f t="shared" si="52"/>
        <v>0</v>
      </c>
      <c r="AN38">
        <f t="shared" si="53"/>
        <v>0</v>
      </c>
      <c r="AO38">
        <f t="shared" si="54"/>
        <v>0</v>
      </c>
      <c r="AP38">
        <f t="shared" si="55"/>
        <v>0</v>
      </c>
      <c r="AQ38">
        <f t="shared" si="56"/>
        <v>0</v>
      </c>
      <c r="AR38">
        <f t="shared" si="57"/>
        <v>0</v>
      </c>
      <c r="AS38">
        <f t="shared" si="58"/>
        <v>0</v>
      </c>
      <c r="AT38">
        <f t="shared" si="59"/>
        <v>0</v>
      </c>
      <c r="AU38">
        <f t="shared" si="60"/>
        <v>0</v>
      </c>
    </row>
    <row r="39" spans="1:51" ht="20.100000000000001" customHeight="1" x14ac:dyDescent="0.3">
      <c r="A39" s="23"/>
      <c r="B39" s="23"/>
      <c r="C39" s="21"/>
      <c r="D39" s="18"/>
      <c r="E39" s="18"/>
      <c r="F39" s="18"/>
      <c r="G39" s="18"/>
      <c r="H39" s="18"/>
      <c r="I39" s="18"/>
      <c r="J39" s="18"/>
      <c r="K39" s="18"/>
      <c r="L39" s="18"/>
      <c r="M39" s="21"/>
    </row>
    <row r="40" spans="1:51" ht="20.100000000000001" customHeight="1" x14ac:dyDescent="0.3">
      <c r="A40" s="23"/>
      <c r="B40" s="23"/>
      <c r="C40" s="21"/>
      <c r="D40" s="18"/>
      <c r="E40" s="18"/>
      <c r="F40" s="18"/>
      <c r="G40" s="18"/>
      <c r="H40" s="18"/>
      <c r="I40" s="18"/>
      <c r="J40" s="18"/>
      <c r="K40" s="18"/>
      <c r="L40" s="18"/>
      <c r="M40" s="21"/>
    </row>
    <row r="41" spans="1:51" ht="20.100000000000001" customHeight="1" x14ac:dyDescent="0.3">
      <c r="A41" s="23"/>
      <c r="B41" s="23"/>
      <c r="C41" s="21"/>
      <c r="D41" s="18"/>
      <c r="E41" s="18"/>
      <c r="F41" s="18"/>
      <c r="G41" s="18"/>
      <c r="H41" s="18"/>
      <c r="I41" s="18"/>
      <c r="J41" s="18"/>
      <c r="K41" s="18"/>
      <c r="L41" s="18"/>
      <c r="M41" s="21"/>
    </row>
    <row r="42" spans="1:51" ht="20.100000000000001" customHeight="1" x14ac:dyDescent="0.3">
      <c r="A42" s="23"/>
      <c r="B42" s="23"/>
      <c r="C42" s="21"/>
      <c r="D42" s="18"/>
      <c r="E42" s="18"/>
      <c r="F42" s="18"/>
      <c r="G42" s="18"/>
      <c r="H42" s="18"/>
      <c r="I42" s="18"/>
      <c r="J42" s="18"/>
      <c r="K42" s="18"/>
      <c r="L42" s="18"/>
      <c r="M42" s="21"/>
    </row>
    <row r="43" spans="1:51" ht="20.100000000000001" customHeight="1" x14ac:dyDescent="0.3">
      <c r="A43" s="23"/>
      <c r="B43" s="23"/>
      <c r="C43" s="21"/>
      <c r="D43" s="18"/>
      <c r="E43" s="18"/>
      <c r="F43" s="18"/>
      <c r="G43" s="18"/>
      <c r="H43" s="18"/>
      <c r="I43" s="18"/>
      <c r="J43" s="18"/>
      <c r="K43" s="18"/>
      <c r="L43" s="18"/>
      <c r="M43" s="21"/>
    </row>
    <row r="44" spans="1:51" ht="20.100000000000001" customHeight="1" x14ac:dyDescent="0.3">
      <c r="A44" s="23"/>
      <c r="B44" s="23"/>
      <c r="C44" s="21"/>
      <c r="D44" s="18"/>
      <c r="E44" s="18"/>
      <c r="F44" s="18"/>
      <c r="G44" s="18"/>
      <c r="H44" s="18"/>
      <c r="I44" s="18"/>
      <c r="J44" s="18"/>
      <c r="K44" s="18"/>
      <c r="L44" s="18"/>
      <c r="M44" s="21"/>
    </row>
    <row r="45" spans="1:51" ht="20.100000000000001" customHeight="1" x14ac:dyDescent="0.3">
      <c r="A45" s="23"/>
      <c r="B45" s="23"/>
      <c r="C45" s="21"/>
      <c r="D45" s="18"/>
      <c r="E45" s="18"/>
      <c r="F45" s="18"/>
      <c r="G45" s="18"/>
      <c r="H45" s="18"/>
      <c r="I45" s="18"/>
      <c r="J45" s="18"/>
      <c r="K45" s="18"/>
      <c r="L45" s="18"/>
      <c r="M45" s="21"/>
    </row>
    <row r="46" spans="1:51" ht="20.100000000000001" customHeight="1" x14ac:dyDescent="0.3">
      <c r="A46" s="23"/>
      <c r="B46" s="23"/>
      <c r="C46" s="21"/>
      <c r="D46" s="18"/>
      <c r="E46" s="18"/>
      <c r="F46" s="18"/>
      <c r="G46" s="18"/>
      <c r="H46" s="18"/>
      <c r="I46" s="18"/>
      <c r="J46" s="18"/>
      <c r="K46" s="18"/>
      <c r="L46" s="18"/>
      <c r="M46" s="21"/>
    </row>
    <row r="47" spans="1:51" ht="20.100000000000001" customHeight="1" x14ac:dyDescent="0.3">
      <c r="A47" s="23"/>
      <c r="B47" s="23"/>
      <c r="C47" s="21"/>
      <c r="D47" s="18"/>
      <c r="E47" s="18"/>
      <c r="F47" s="18"/>
      <c r="G47" s="18"/>
      <c r="H47" s="18"/>
      <c r="I47" s="18"/>
      <c r="J47" s="18"/>
      <c r="K47" s="18"/>
      <c r="L47" s="18"/>
      <c r="M47" s="21"/>
    </row>
    <row r="48" spans="1:51" ht="20.100000000000001" customHeight="1" x14ac:dyDescent="0.3">
      <c r="A48" s="20" t="s">
        <v>68</v>
      </c>
      <c r="B48" s="6"/>
      <c r="C48" s="17"/>
      <c r="D48" s="4"/>
      <c r="E48" s="18"/>
      <c r="F48" s="4">
        <f>ROUNDDOWN(SUMIF(Q28:Q47, "1", F28:F47), 0)</f>
        <v>0</v>
      </c>
      <c r="G48" s="18"/>
      <c r="H48" s="4">
        <f>ROUNDDOWN(SUMIF(Q28:Q47, "1", H28:H47), 0)</f>
        <v>0</v>
      </c>
      <c r="I48" s="18"/>
      <c r="J48" s="4">
        <f>ROUNDDOWN(SUMIF(Q28:Q47, "1", J28:J47), 0)</f>
        <v>0</v>
      </c>
      <c r="K48" s="18"/>
      <c r="L48" s="4">
        <f>F48+H48+J48</f>
        <v>0</v>
      </c>
      <c r="M48" s="17"/>
      <c r="R48">
        <f t="shared" ref="R48:AY48" si="61">ROUNDDOWN(SUM(R28:R38), 0)</f>
        <v>0</v>
      </c>
      <c r="S48">
        <f t="shared" si="61"/>
        <v>0</v>
      </c>
      <c r="T48">
        <f t="shared" si="61"/>
        <v>0</v>
      </c>
      <c r="U48">
        <f t="shared" si="61"/>
        <v>0</v>
      </c>
      <c r="V48">
        <f t="shared" si="61"/>
        <v>0</v>
      </c>
      <c r="W48">
        <f t="shared" si="61"/>
        <v>0</v>
      </c>
      <c r="X48">
        <f t="shared" si="61"/>
        <v>0</v>
      </c>
      <c r="Y48">
        <f t="shared" si="61"/>
        <v>0</v>
      </c>
      <c r="Z48">
        <f t="shared" si="61"/>
        <v>0</v>
      </c>
      <c r="AA48">
        <f t="shared" si="61"/>
        <v>0</v>
      </c>
      <c r="AB48">
        <f t="shared" si="61"/>
        <v>0</v>
      </c>
      <c r="AC48">
        <f t="shared" si="61"/>
        <v>0</v>
      </c>
      <c r="AD48">
        <f t="shared" si="61"/>
        <v>0</v>
      </c>
      <c r="AE48">
        <f t="shared" si="61"/>
        <v>0</v>
      </c>
      <c r="AF48">
        <f t="shared" si="61"/>
        <v>0</v>
      </c>
      <c r="AG48">
        <f t="shared" si="61"/>
        <v>0</v>
      </c>
      <c r="AH48">
        <f t="shared" si="61"/>
        <v>0</v>
      </c>
      <c r="AI48">
        <f t="shared" si="61"/>
        <v>0</v>
      </c>
      <c r="AJ48">
        <f t="shared" si="61"/>
        <v>0</v>
      </c>
      <c r="AK48">
        <f t="shared" si="61"/>
        <v>0</v>
      </c>
      <c r="AL48">
        <f t="shared" si="61"/>
        <v>0</v>
      </c>
      <c r="AM48">
        <f t="shared" si="61"/>
        <v>0</v>
      </c>
      <c r="AN48">
        <f t="shared" si="61"/>
        <v>0</v>
      </c>
      <c r="AO48">
        <f t="shared" si="61"/>
        <v>0</v>
      </c>
      <c r="AP48">
        <f t="shared" si="61"/>
        <v>0</v>
      </c>
      <c r="AQ48">
        <f t="shared" si="61"/>
        <v>0</v>
      </c>
      <c r="AR48">
        <f t="shared" si="61"/>
        <v>0</v>
      </c>
      <c r="AS48">
        <f t="shared" si="61"/>
        <v>0</v>
      </c>
      <c r="AT48">
        <f t="shared" si="61"/>
        <v>0</v>
      </c>
      <c r="AU48">
        <f t="shared" si="61"/>
        <v>0</v>
      </c>
      <c r="AV48">
        <f t="shared" si="61"/>
        <v>0</v>
      </c>
      <c r="AW48">
        <f t="shared" si="61"/>
        <v>0</v>
      </c>
      <c r="AX48">
        <f t="shared" si="61"/>
        <v>0</v>
      </c>
      <c r="AY48">
        <f t="shared" si="61"/>
        <v>0</v>
      </c>
    </row>
    <row r="49" spans="1:51" ht="20.100000000000001" customHeight="1" x14ac:dyDescent="0.3">
      <c r="A49" s="67" t="s">
        <v>292</v>
      </c>
      <c r="B49" s="68"/>
      <c r="C49" s="68"/>
      <c r="D49" s="69"/>
      <c r="E49" s="69"/>
      <c r="F49" s="69"/>
      <c r="G49" s="69"/>
      <c r="H49" s="69"/>
      <c r="I49" s="69"/>
      <c r="J49" s="69"/>
      <c r="K49" s="69"/>
      <c r="L49" s="69"/>
      <c r="M49" s="68"/>
    </row>
    <row r="50" spans="1:51" ht="20.100000000000001" customHeight="1" x14ac:dyDescent="0.3">
      <c r="A50" s="25" t="s">
        <v>291</v>
      </c>
      <c r="B50" s="23"/>
      <c r="C50" s="24" t="s">
        <v>170</v>
      </c>
      <c r="D50" s="18">
        <v>20.9</v>
      </c>
      <c r="E50" s="18"/>
      <c r="F50" s="18"/>
      <c r="G50" s="18"/>
      <c r="H50" s="18"/>
      <c r="I50" s="18"/>
      <c r="J50" s="18"/>
      <c r="K50" s="18"/>
      <c r="L50" s="18"/>
      <c r="M50" s="24" t="s">
        <v>290</v>
      </c>
      <c r="O50" t="str">
        <f>""</f>
        <v/>
      </c>
      <c r="P50" s="5" t="s">
        <v>117</v>
      </c>
      <c r="Q50">
        <v>1</v>
      </c>
      <c r="R50">
        <f t="shared" ref="R50:R63" si="62">IF(P50="기계경비", J50, 0)</f>
        <v>0</v>
      </c>
      <c r="S50">
        <f t="shared" ref="S50:S63" si="63">IF(P50="운반비", L50, 0)</f>
        <v>0</v>
      </c>
      <c r="T50">
        <f t="shared" ref="T50:T63" si="64">IF(P50="작업부산물", F50, 0)</f>
        <v>0</v>
      </c>
      <c r="U50">
        <f t="shared" ref="U50:U63" si="65">IF(P50="관급", F50, 0)</f>
        <v>0</v>
      </c>
      <c r="V50">
        <f t="shared" ref="V50:V63" si="66">IF(P50="외주비", J50, 0)</f>
        <v>0</v>
      </c>
      <c r="W50">
        <f t="shared" ref="W50:W63" si="67">IF(P50="장비비", J50, 0)</f>
        <v>0</v>
      </c>
      <c r="X50">
        <f t="shared" ref="X50:X63" si="68">IF(P50="폐기물처리비", L50, 0)</f>
        <v>0</v>
      </c>
      <c r="Y50">
        <f t="shared" ref="Y50:Y63" si="69">IF(P50="가설비", J50, 0)</f>
        <v>0</v>
      </c>
      <c r="Z50">
        <f t="shared" ref="Z50:Z63" si="70">IF(P50="잡비제외분", F50, 0)</f>
        <v>0</v>
      </c>
      <c r="AA50">
        <f t="shared" ref="AA50:AA63" si="71">IF(P50="사급자재대", L50, 0)</f>
        <v>0</v>
      </c>
      <c r="AB50">
        <f t="shared" ref="AB50:AB63" si="72">IF(P50="관급자재대", L50, 0)</f>
        <v>0</v>
      </c>
      <c r="AC50">
        <f t="shared" ref="AC50:AC63" si="73">IF(P50="관급자관급", L50, 0)</f>
        <v>0</v>
      </c>
      <c r="AD50">
        <f t="shared" ref="AD50:AD63" si="74">IF(P50="품질시험비", L50, 0)</f>
        <v>0</v>
      </c>
      <c r="AE50">
        <f t="shared" ref="AE50:AE63" si="75">IF(P50="수도광열비", L50, 0)</f>
        <v>0</v>
      </c>
      <c r="AF50">
        <f t="shared" ref="AF50:AF63" si="76">IF(P50="공기중석면농도측정비", L50, 0)</f>
        <v>0</v>
      </c>
      <c r="AG50">
        <f t="shared" ref="AG50:AG63" si="77">IF(P50="사용자항목5", L50, 0)</f>
        <v>0</v>
      </c>
      <c r="AH50">
        <f t="shared" ref="AH50:AH63" si="78">IF(P50="사용자항목6", L50, 0)</f>
        <v>0</v>
      </c>
      <c r="AI50">
        <f t="shared" ref="AI50:AI63" si="79">IF(P50="사용자항목7", L50, 0)</f>
        <v>0</v>
      </c>
      <c r="AJ50">
        <f t="shared" ref="AJ50:AJ63" si="80">IF(P50="관급자재대2", L50, 0)</f>
        <v>0</v>
      </c>
      <c r="AK50">
        <f t="shared" ref="AK50:AK63" si="81">IF(P50="작업부산물", L50, 0)</f>
        <v>0</v>
      </c>
      <c r="AL50">
        <f t="shared" ref="AL50:AL63" si="82">IF(P50="해체계획비및검토비", L50, 0)</f>
        <v>0</v>
      </c>
      <c r="AM50">
        <f t="shared" ref="AM50:AM63" si="83">IF(P50="사용자항목11", L50, 0)</f>
        <v>0</v>
      </c>
      <c r="AN50">
        <f t="shared" ref="AN50:AN63" si="84">IF(P50="사용자항목12", L50, 0)</f>
        <v>0</v>
      </c>
      <c r="AO50">
        <f t="shared" ref="AO50:AO63" si="85">IF(P50="사용자항목13", L50, 0)</f>
        <v>0</v>
      </c>
      <c r="AP50">
        <f t="shared" ref="AP50:AP63" si="86">IF(P50="사용자항목14", L50, 0)</f>
        <v>0</v>
      </c>
      <c r="AQ50">
        <f t="shared" ref="AQ50:AQ63" si="87">IF(P50="사용자항목15", L50, 0)</f>
        <v>0</v>
      </c>
      <c r="AR50">
        <f t="shared" ref="AR50:AR63" si="88">IF(P50="사용자항목16", L50, 0)</f>
        <v>0</v>
      </c>
      <c r="AS50">
        <f t="shared" ref="AS50:AS63" si="89">IF(P50="사용자항목17", L50, 0)</f>
        <v>0</v>
      </c>
      <c r="AT50">
        <f t="shared" ref="AT50:AT63" si="90">IF(P50="사용자항목18", L50, 0)</f>
        <v>0</v>
      </c>
      <c r="AU50">
        <f t="shared" ref="AU50:AU63" si="91">IF(P50="사용자항목19", L50, 0)</f>
        <v>0</v>
      </c>
    </row>
    <row r="51" spans="1:51" ht="20.100000000000001" customHeight="1" x14ac:dyDescent="0.3">
      <c r="A51" s="25" t="s">
        <v>289</v>
      </c>
      <c r="B51" s="23"/>
      <c r="C51" s="24" t="s">
        <v>170</v>
      </c>
      <c r="D51" s="18">
        <v>1.8</v>
      </c>
      <c r="E51" s="18"/>
      <c r="F51" s="18"/>
      <c r="G51" s="18"/>
      <c r="H51" s="18"/>
      <c r="I51" s="18"/>
      <c r="J51" s="18"/>
      <c r="K51" s="18"/>
      <c r="L51" s="18"/>
      <c r="M51" s="24" t="s">
        <v>288</v>
      </c>
      <c r="O51" t="str">
        <f>""</f>
        <v/>
      </c>
      <c r="P51" s="5" t="s">
        <v>117</v>
      </c>
      <c r="Q51">
        <v>1</v>
      </c>
      <c r="R51">
        <f t="shared" si="62"/>
        <v>0</v>
      </c>
      <c r="S51">
        <f t="shared" si="63"/>
        <v>0</v>
      </c>
      <c r="T51">
        <f t="shared" si="64"/>
        <v>0</v>
      </c>
      <c r="U51">
        <f t="shared" si="65"/>
        <v>0</v>
      </c>
      <c r="V51">
        <f t="shared" si="66"/>
        <v>0</v>
      </c>
      <c r="W51">
        <f t="shared" si="67"/>
        <v>0</v>
      </c>
      <c r="X51">
        <f t="shared" si="68"/>
        <v>0</v>
      </c>
      <c r="Y51">
        <f t="shared" si="69"/>
        <v>0</v>
      </c>
      <c r="Z51">
        <f t="shared" si="70"/>
        <v>0</v>
      </c>
      <c r="AA51">
        <f t="shared" si="71"/>
        <v>0</v>
      </c>
      <c r="AB51">
        <f t="shared" si="72"/>
        <v>0</v>
      </c>
      <c r="AC51">
        <f t="shared" si="73"/>
        <v>0</v>
      </c>
      <c r="AD51">
        <f t="shared" si="74"/>
        <v>0</v>
      </c>
      <c r="AE51">
        <f t="shared" si="75"/>
        <v>0</v>
      </c>
      <c r="AF51">
        <f t="shared" si="76"/>
        <v>0</v>
      </c>
      <c r="AG51">
        <f t="shared" si="77"/>
        <v>0</v>
      </c>
      <c r="AH51">
        <f t="shared" si="78"/>
        <v>0</v>
      </c>
      <c r="AI51">
        <f t="shared" si="79"/>
        <v>0</v>
      </c>
      <c r="AJ51">
        <f t="shared" si="80"/>
        <v>0</v>
      </c>
      <c r="AK51">
        <f t="shared" si="81"/>
        <v>0</v>
      </c>
      <c r="AL51">
        <f t="shared" si="82"/>
        <v>0</v>
      </c>
      <c r="AM51">
        <f t="shared" si="83"/>
        <v>0</v>
      </c>
      <c r="AN51">
        <f t="shared" si="84"/>
        <v>0</v>
      </c>
      <c r="AO51">
        <f t="shared" si="85"/>
        <v>0</v>
      </c>
      <c r="AP51">
        <f t="shared" si="86"/>
        <v>0</v>
      </c>
      <c r="AQ51">
        <f t="shared" si="87"/>
        <v>0</v>
      </c>
      <c r="AR51">
        <f t="shared" si="88"/>
        <v>0</v>
      </c>
      <c r="AS51">
        <f t="shared" si="89"/>
        <v>0</v>
      </c>
      <c r="AT51">
        <f t="shared" si="90"/>
        <v>0</v>
      </c>
      <c r="AU51">
        <f t="shared" si="91"/>
        <v>0</v>
      </c>
    </row>
    <row r="52" spans="1:51" ht="20.100000000000001" customHeight="1" x14ac:dyDescent="0.3">
      <c r="A52" s="25" t="s">
        <v>287</v>
      </c>
      <c r="B52" s="25" t="s">
        <v>286</v>
      </c>
      <c r="C52" s="24" t="s">
        <v>285</v>
      </c>
      <c r="D52" s="18">
        <v>17.3</v>
      </c>
      <c r="E52" s="18"/>
      <c r="F52" s="18"/>
      <c r="G52" s="18"/>
      <c r="H52" s="18"/>
      <c r="I52" s="18"/>
      <c r="J52" s="18"/>
      <c r="K52" s="18"/>
      <c r="L52" s="18"/>
      <c r="M52" s="24" t="s">
        <v>284</v>
      </c>
      <c r="O52" t="str">
        <f>""</f>
        <v/>
      </c>
      <c r="P52" s="5" t="s">
        <v>117</v>
      </c>
      <c r="Q52">
        <v>1</v>
      </c>
      <c r="R52">
        <f t="shared" si="62"/>
        <v>0</v>
      </c>
      <c r="S52">
        <f t="shared" si="63"/>
        <v>0</v>
      </c>
      <c r="T52">
        <f t="shared" si="64"/>
        <v>0</v>
      </c>
      <c r="U52">
        <f t="shared" si="65"/>
        <v>0</v>
      </c>
      <c r="V52">
        <f t="shared" si="66"/>
        <v>0</v>
      </c>
      <c r="W52">
        <f t="shared" si="67"/>
        <v>0</v>
      </c>
      <c r="X52">
        <f t="shared" si="68"/>
        <v>0</v>
      </c>
      <c r="Y52">
        <f t="shared" si="69"/>
        <v>0</v>
      </c>
      <c r="Z52">
        <f t="shared" si="70"/>
        <v>0</v>
      </c>
      <c r="AA52">
        <f t="shared" si="71"/>
        <v>0</v>
      </c>
      <c r="AB52">
        <f t="shared" si="72"/>
        <v>0</v>
      </c>
      <c r="AC52">
        <f t="shared" si="73"/>
        <v>0</v>
      </c>
      <c r="AD52">
        <f t="shared" si="74"/>
        <v>0</v>
      </c>
      <c r="AE52">
        <f t="shared" si="75"/>
        <v>0</v>
      </c>
      <c r="AF52">
        <f t="shared" si="76"/>
        <v>0</v>
      </c>
      <c r="AG52">
        <f t="shared" si="77"/>
        <v>0</v>
      </c>
      <c r="AH52">
        <f t="shared" si="78"/>
        <v>0</v>
      </c>
      <c r="AI52">
        <f t="shared" si="79"/>
        <v>0</v>
      </c>
      <c r="AJ52">
        <f t="shared" si="80"/>
        <v>0</v>
      </c>
      <c r="AK52">
        <f t="shared" si="81"/>
        <v>0</v>
      </c>
      <c r="AL52">
        <f t="shared" si="82"/>
        <v>0</v>
      </c>
      <c r="AM52">
        <f t="shared" si="83"/>
        <v>0</v>
      </c>
      <c r="AN52">
        <f t="shared" si="84"/>
        <v>0</v>
      </c>
      <c r="AO52">
        <f t="shared" si="85"/>
        <v>0</v>
      </c>
      <c r="AP52">
        <f t="shared" si="86"/>
        <v>0</v>
      </c>
      <c r="AQ52">
        <f t="shared" si="87"/>
        <v>0</v>
      </c>
      <c r="AR52">
        <f t="shared" si="88"/>
        <v>0</v>
      </c>
      <c r="AS52">
        <f t="shared" si="89"/>
        <v>0</v>
      </c>
      <c r="AT52">
        <f t="shared" si="90"/>
        <v>0</v>
      </c>
      <c r="AU52">
        <f t="shared" si="91"/>
        <v>0</v>
      </c>
      <c r="AY52" s="5" t="s">
        <v>283</v>
      </c>
    </row>
    <row r="53" spans="1:51" ht="20.100000000000001" customHeight="1" x14ac:dyDescent="0.3">
      <c r="A53" s="25" t="s">
        <v>282</v>
      </c>
      <c r="B53" s="25" t="s">
        <v>281</v>
      </c>
      <c r="C53" s="24" t="s">
        <v>274</v>
      </c>
      <c r="D53" s="18">
        <v>0.3</v>
      </c>
      <c r="E53" s="18"/>
      <c r="F53" s="18"/>
      <c r="G53" s="18"/>
      <c r="H53" s="18"/>
      <c r="I53" s="18"/>
      <c r="J53" s="18"/>
      <c r="K53" s="18"/>
      <c r="L53" s="18"/>
      <c r="M53" s="24" t="s">
        <v>280</v>
      </c>
      <c r="O53" t="str">
        <f>""</f>
        <v/>
      </c>
      <c r="P53" s="5" t="s">
        <v>117</v>
      </c>
      <c r="Q53">
        <v>1</v>
      </c>
      <c r="R53">
        <f t="shared" si="62"/>
        <v>0</v>
      </c>
      <c r="S53">
        <f t="shared" si="63"/>
        <v>0</v>
      </c>
      <c r="T53">
        <f t="shared" si="64"/>
        <v>0</v>
      </c>
      <c r="U53">
        <f t="shared" si="65"/>
        <v>0</v>
      </c>
      <c r="V53">
        <f t="shared" si="66"/>
        <v>0</v>
      </c>
      <c r="W53">
        <f t="shared" si="67"/>
        <v>0</v>
      </c>
      <c r="X53">
        <f t="shared" si="68"/>
        <v>0</v>
      </c>
      <c r="Y53">
        <f t="shared" si="69"/>
        <v>0</v>
      </c>
      <c r="Z53">
        <f t="shared" si="70"/>
        <v>0</v>
      </c>
      <c r="AA53">
        <f t="shared" si="71"/>
        <v>0</v>
      </c>
      <c r="AB53">
        <f t="shared" si="72"/>
        <v>0</v>
      </c>
      <c r="AC53">
        <f t="shared" si="73"/>
        <v>0</v>
      </c>
      <c r="AD53">
        <f t="shared" si="74"/>
        <v>0</v>
      </c>
      <c r="AE53">
        <f t="shared" si="75"/>
        <v>0</v>
      </c>
      <c r="AF53">
        <f t="shared" si="76"/>
        <v>0</v>
      </c>
      <c r="AG53">
        <f t="shared" si="77"/>
        <v>0</v>
      </c>
      <c r="AH53">
        <f t="shared" si="78"/>
        <v>0</v>
      </c>
      <c r="AI53">
        <f t="shared" si="79"/>
        <v>0</v>
      </c>
      <c r="AJ53">
        <f t="shared" si="80"/>
        <v>0</v>
      </c>
      <c r="AK53">
        <f t="shared" si="81"/>
        <v>0</v>
      </c>
      <c r="AL53">
        <f t="shared" si="82"/>
        <v>0</v>
      </c>
      <c r="AM53">
        <f t="shared" si="83"/>
        <v>0</v>
      </c>
      <c r="AN53">
        <f t="shared" si="84"/>
        <v>0</v>
      </c>
      <c r="AO53">
        <f t="shared" si="85"/>
        <v>0</v>
      </c>
      <c r="AP53">
        <f t="shared" si="86"/>
        <v>0</v>
      </c>
      <c r="AQ53">
        <f t="shared" si="87"/>
        <v>0</v>
      </c>
      <c r="AR53">
        <f t="shared" si="88"/>
        <v>0</v>
      </c>
      <c r="AS53">
        <f t="shared" si="89"/>
        <v>0</v>
      </c>
      <c r="AT53">
        <f t="shared" si="90"/>
        <v>0</v>
      </c>
      <c r="AU53">
        <f t="shared" si="91"/>
        <v>0</v>
      </c>
    </row>
    <row r="54" spans="1:51" ht="20.100000000000001" customHeight="1" x14ac:dyDescent="0.3">
      <c r="A54" s="25" t="s">
        <v>279</v>
      </c>
      <c r="B54" s="25" t="s">
        <v>278</v>
      </c>
      <c r="C54" s="24" t="s">
        <v>186</v>
      </c>
      <c r="D54" s="18">
        <v>40</v>
      </c>
      <c r="E54" s="18"/>
      <c r="F54" s="18"/>
      <c r="G54" s="18"/>
      <c r="H54" s="18"/>
      <c r="I54" s="18"/>
      <c r="J54" s="18"/>
      <c r="K54" s="18"/>
      <c r="L54" s="18"/>
      <c r="M54" s="24" t="s">
        <v>277</v>
      </c>
      <c r="O54" t="str">
        <f>""</f>
        <v/>
      </c>
      <c r="P54" s="5" t="s">
        <v>117</v>
      </c>
      <c r="Q54">
        <v>1</v>
      </c>
      <c r="R54">
        <f t="shared" si="62"/>
        <v>0</v>
      </c>
      <c r="S54">
        <f t="shared" si="63"/>
        <v>0</v>
      </c>
      <c r="T54">
        <f t="shared" si="64"/>
        <v>0</v>
      </c>
      <c r="U54">
        <f t="shared" si="65"/>
        <v>0</v>
      </c>
      <c r="V54">
        <f t="shared" si="66"/>
        <v>0</v>
      </c>
      <c r="W54">
        <f t="shared" si="67"/>
        <v>0</v>
      </c>
      <c r="X54">
        <f t="shared" si="68"/>
        <v>0</v>
      </c>
      <c r="Y54">
        <f t="shared" si="69"/>
        <v>0</v>
      </c>
      <c r="Z54">
        <f t="shared" si="70"/>
        <v>0</v>
      </c>
      <c r="AA54">
        <f t="shared" si="71"/>
        <v>0</v>
      </c>
      <c r="AB54">
        <f t="shared" si="72"/>
        <v>0</v>
      </c>
      <c r="AC54">
        <f t="shared" si="73"/>
        <v>0</v>
      </c>
      <c r="AD54">
        <f t="shared" si="74"/>
        <v>0</v>
      </c>
      <c r="AE54">
        <f t="shared" si="75"/>
        <v>0</v>
      </c>
      <c r="AF54">
        <f t="shared" si="76"/>
        <v>0</v>
      </c>
      <c r="AG54">
        <f t="shared" si="77"/>
        <v>0</v>
      </c>
      <c r="AH54">
        <f t="shared" si="78"/>
        <v>0</v>
      </c>
      <c r="AI54">
        <f t="shared" si="79"/>
        <v>0</v>
      </c>
      <c r="AJ54">
        <f t="shared" si="80"/>
        <v>0</v>
      </c>
      <c r="AK54">
        <f t="shared" si="81"/>
        <v>0</v>
      </c>
      <c r="AL54">
        <f t="shared" si="82"/>
        <v>0</v>
      </c>
      <c r="AM54">
        <f t="shared" si="83"/>
        <v>0</v>
      </c>
      <c r="AN54">
        <f t="shared" si="84"/>
        <v>0</v>
      </c>
      <c r="AO54">
        <f t="shared" si="85"/>
        <v>0</v>
      </c>
      <c r="AP54">
        <f t="shared" si="86"/>
        <v>0</v>
      </c>
      <c r="AQ54">
        <f t="shared" si="87"/>
        <v>0</v>
      </c>
      <c r="AR54">
        <f t="shared" si="88"/>
        <v>0</v>
      </c>
      <c r="AS54">
        <f t="shared" si="89"/>
        <v>0</v>
      </c>
      <c r="AT54">
        <f t="shared" si="90"/>
        <v>0</v>
      </c>
      <c r="AU54">
        <f t="shared" si="91"/>
        <v>0</v>
      </c>
    </row>
    <row r="55" spans="1:51" ht="20.100000000000001" customHeight="1" x14ac:dyDescent="0.3">
      <c r="A55" s="25" t="s">
        <v>276</v>
      </c>
      <c r="B55" s="25" t="s">
        <v>275</v>
      </c>
      <c r="C55" s="24" t="s">
        <v>274</v>
      </c>
      <c r="D55" s="18">
        <v>5.3</v>
      </c>
      <c r="E55" s="18"/>
      <c r="F55" s="18"/>
      <c r="G55" s="18"/>
      <c r="H55" s="18"/>
      <c r="I55" s="18"/>
      <c r="J55" s="18"/>
      <c r="K55" s="18"/>
      <c r="L55" s="18"/>
      <c r="M55" s="24" t="s">
        <v>273</v>
      </c>
      <c r="O55" t="str">
        <f>""</f>
        <v/>
      </c>
      <c r="P55" s="5" t="s">
        <v>117</v>
      </c>
      <c r="Q55">
        <v>1</v>
      </c>
      <c r="R55">
        <f t="shared" si="62"/>
        <v>0</v>
      </c>
      <c r="S55">
        <f t="shared" si="63"/>
        <v>0</v>
      </c>
      <c r="T55">
        <f t="shared" si="64"/>
        <v>0</v>
      </c>
      <c r="U55">
        <f t="shared" si="65"/>
        <v>0</v>
      </c>
      <c r="V55">
        <f t="shared" si="66"/>
        <v>0</v>
      </c>
      <c r="W55">
        <f t="shared" si="67"/>
        <v>0</v>
      </c>
      <c r="X55">
        <f t="shared" si="68"/>
        <v>0</v>
      </c>
      <c r="Y55">
        <f t="shared" si="69"/>
        <v>0</v>
      </c>
      <c r="Z55">
        <f t="shared" si="70"/>
        <v>0</v>
      </c>
      <c r="AA55">
        <f t="shared" si="71"/>
        <v>0</v>
      </c>
      <c r="AB55">
        <f t="shared" si="72"/>
        <v>0</v>
      </c>
      <c r="AC55">
        <f t="shared" si="73"/>
        <v>0</v>
      </c>
      <c r="AD55">
        <f t="shared" si="74"/>
        <v>0</v>
      </c>
      <c r="AE55">
        <f t="shared" si="75"/>
        <v>0</v>
      </c>
      <c r="AF55">
        <f t="shared" si="76"/>
        <v>0</v>
      </c>
      <c r="AG55">
        <f t="shared" si="77"/>
        <v>0</v>
      </c>
      <c r="AH55">
        <f t="shared" si="78"/>
        <v>0</v>
      </c>
      <c r="AI55">
        <f t="shared" si="79"/>
        <v>0</v>
      </c>
      <c r="AJ55">
        <f t="shared" si="80"/>
        <v>0</v>
      </c>
      <c r="AK55">
        <f t="shared" si="81"/>
        <v>0</v>
      </c>
      <c r="AL55">
        <f t="shared" si="82"/>
        <v>0</v>
      </c>
      <c r="AM55">
        <f t="shared" si="83"/>
        <v>0</v>
      </c>
      <c r="AN55">
        <f t="shared" si="84"/>
        <v>0</v>
      </c>
      <c r="AO55">
        <f t="shared" si="85"/>
        <v>0</v>
      </c>
      <c r="AP55">
        <f t="shared" si="86"/>
        <v>0</v>
      </c>
      <c r="AQ55">
        <f t="shared" si="87"/>
        <v>0</v>
      </c>
      <c r="AR55">
        <f t="shared" si="88"/>
        <v>0</v>
      </c>
      <c r="AS55">
        <f t="shared" si="89"/>
        <v>0</v>
      </c>
      <c r="AT55">
        <f t="shared" si="90"/>
        <v>0</v>
      </c>
      <c r="AU55">
        <f t="shared" si="91"/>
        <v>0</v>
      </c>
    </row>
    <row r="56" spans="1:51" ht="20.100000000000001" customHeight="1" x14ac:dyDescent="0.3">
      <c r="A56" s="25" t="s">
        <v>272</v>
      </c>
      <c r="B56" s="23"/>
      <c r="C56" s="24" t="s">
        <v>170</v>
      </c>
      <c r="D56" s="18">
        <v>2.9</v>
      </c>
      <c r="E56" s="18"/>
      <c r="F56" s="18"/>
      <c r="G56" s="18"/>
      <c r="H56" s="18"/>
      <c r="I56" s="18"/>
      <c r="J56" s="18"/>
      <c r="K56" s="18"/>
      <c r="L56" s="18"/>
      <c r="M56" s="24" t="s">
        <v>271</v>
      </c>
      <c r="O56" t="str">
        <f>""</f>
        <v/>
      </c>
      <c r="P56" s="5" t="s">
        <v>117</v>
      </c>
      <c r="Q56">
        <v>1</v>
      </c>
      <c r="R56">
        <f t="shared" si="62"/>
        <v>0</v>
      </c>
      <c r="S56">
        <f t="shared" si="63"/>
        <v>0</v>
      </c>
      <c r="T56">
        <f t="shared" si="64"/>
        <v>0</v>
      </c>
      <c r="U56">
        <f t="shared" si="65"/>
        <v>0</v>
      </c>
      <c r="V56">
        <f t="shared" si="66"/>
        <v>0</v>
      </c>
      <c r="W56">
        <f t="shared" si="67"/>
        <v>0</v>
      </c>
      <c r="X56">
        <f t="shared" si="68"/>
        <v>0</v>
      </c>
      <c r="Y56">
        <f t="shared" si="69"/>
        <v>0</v>
      </c>
      <c r="Z56">
        <f t="shared" si="70"/>
        <v>0</v>
      </c>
      <c r="AA56">
        <f t="shared" si="71"/>
        <v>0</v>
      </c>
      <c r="AB56">
        <f t="shared" si="72"/>
        <v>0</v>
      </c>
      <c r="AC56">
        <f t="shared" si="73"/>
        <v>0</v>
      </c>
      <c r="AD56">
        <f t="shared" si="74"/>
        <v>0</v>
      </c>
      <c r="AE56">
        <f t="shared" si="75"/>
        <v>0</v>
      </c>
      <c r="AF56">
        <f t="shared" si="76"/>
        <v>0</v>
      </c>
      <c r="AG56">
        <f t="shared" si="77"/>
        <v>0</v>
      </c>
      <c r="AH56">
        <f t="shared" si="78"/>
        <v>0</v>
      </c>
      <c r="AI56">
        <f t="shared" si="79"/>
        <v>0</v>
      </c>
      <c r="AJ56">
        <f t="shared" si="80"/>
        <v>0</v>
      </c>
      <c r="AK56">
        <f t="shared" si="81"/>
        <v>0</v>
      </c>
      <c r="AL56">
        <f t="shared" si="82"/>
        <v>0</v>
      </c>
      <c r="AM56">
        <f t="shared" si="83"/>
        <v>0</v>
      </c>
      <c r="AN56">
        <f t="shared" si="84"/>
        <v>0</v>
      </c>
      <c r="AO56">
        <f t="shared" si="85"/>
        <v>0</v>
      </c>
      <c r="AP56">
        <f t="shared" si="86"/>
        <v>0</v>
      </c>
      <c r="AQ56">
        <f t="shared" si="87"/>
        <v>0</v>
      </c>
      <c r="AR56">
        <f t="shared" si="88"/>
        <v>0</v>
      </c>
      <c r="AS56">
        <f t="shared" si="89"/>
        <v>0</v>
      </c>
      <c r="AT56">
        <f t="shared" si="90"/>
        <v>0</v>
      </c>
      <c r="AU56">
        <f t="shared" si="91"/>
        <v>0</v>
      </c>
    </row>
    <row r="57" spans="1:51" ht="20.100000000000001" customHeight="1" x14ac:dyDescent="0.3">
      <c r="A57" s="25" t="s">
        <v>270</v>
      </c>
      <c r="B57" s="23"/>
      <c r="C57" s="24" t="s">
        <v>170</v>
      </c>
      <c r="D57" s="18">
        <v>186.4</v>
      </c>
      <c r="E57" s="18"/>
      <c r="F57" s="18"/>
      <c r="G57" s="18"/>
      <c r="H57" s="18"/>
      <c r="I57" s="18"/>
      <c r="J57" s="18"/>
      <c r="K57" s="18"/>
      <c r="L57" s="18"/>
      <c r="M57" s="24" t="s">
        <v>269</v>
      </c>
      <c r="O57" t="str">
        <f>""</f>
        <v/>
      </c>
      <c r="P57" s="5" t="s">
        <v>117</v>
      </c>
      <c r="Q57">
        <v>1</v>
      </c>
      <c r="R57">
        <f t="shared" si="62"/>
        <v>0</v>
      </c>
      <c r="S57">
        <f t="shared" si="63"/>
        <v>0</v>
      </c>
      <c r="T57">
        <f t="shared" si="64"/>
        <v>0</v>
      </c>
      <c r="U57">
        <f t="shared" si="65"/>
        <v>0</v>
      </c>
      <c r="V57">
        <f t="shared" si="66"/>
        <v>0</v>
      </c>
      <c r="W57">
        <f t="shared" si="67"/>
        <v>0</v>
      </c>
      <c r="X57">
        <f t="shared" si="68"/>
        <v>0</v>
      </c>
      <c r="Y57">
        <f t="shared" si="69"/>
        <v>0</v>
      </c>
      <c r="Z57">
        <f t="shared" si="70"/>
        <v>0</v>
      </c>
      <c r="AA57">
        <f t="shared" si="71"/>
        <v>0</v>
      </c>
      <c r="AB57">
        <f t="shared" si="72"/>
        <v>0</v>
      </c>
      <c r="AC57">
        <f t="shared" si="73"/>
        <v>0</v>
      </c>
      <c r="AD57">
        <f t="shared" si="74"/>
        <v>0</v>
      </c>
      <c r="AE57">
        <f t="shared" si="75"/>
        <v>0</v>
      </c>
      <c r="AF57">
        <f t="shared" si="76"/>
        <v>0</v>
      </c>
      <c r="AG57">
        <f t="shared" si="77"/>
        <v>0</v>
      </c>
      <c r="AH57">
        <f t="shared" si="78"/>
        <v>0</v>
      </c>
      <c r="AI57">
        <f t="shared" si="79"/>
        <v>0</v>
      </c>
      <c r="AJ57">
        <f t="shared" si="80"/>
        <v>0</v>
      </c>
      <c r="AK57">
        <f t="shared" si="81"/>
        <v>0</v>
      </c>
      <c r="AL57">
        <f t="shared" si="82"/>
        <v>0</v>
      </c>
      <c r="AM57">
        <f t="shared" si="83"/>
        <v>0</v>
      </c>
      <c r="AN57">
        <f t="shared" si="84"/>
        <v>0</v>
      </c>
      <c r="AO57">
        <f t="shared" si="85"/>
        <v>0</v>
      </c>
      <c r="AP57">
        <f t="shared" si="86"/>
        <v>0</v>
      </c>
      <c r="AQ57">
        <f t="shared" si="87"/>
        <v>0</v>
      </c>
      <c r="AR57">
        <f t="shared" si="88"/>
        <v>0</v>
      </c>
      <c r="AS57">
        <f t="shared" si="89"/>
        <v>0</v>
      </c>
      <c r="AT57">
        <f t="shared" si="90"/>
        <v>0</v>
      </c>
      <c r="AU57">
        <f t="shared" si="91"/>
        <v>0</v>
      </c>
    </row>
    <row r="58" spans="1:51" ht="20.100000000000001" customHeight="1" x14ac:dyDescent="0.3">
      <c r="A58" s="25" t="s">
        <v>268</v>
      </c>
      <c r="B58" s="23"/>
      <c r="C58" s="24" t="s">
        <v>170</v>
      </c>
      <c r="D58" s="18">
        <v>186.4</v>
      </c>
      <c r="E58" s="18"/>
      <c r="F58" s="18"/>
      <c r="G58" s="18"/>
      <c r="H58" s="18"/>
      <c r="I58" s="18"/>
      <c r="J58" s="18"/>
      <c r="K58" s="18"/>
      <c r="L58" s="18"/>
      <c r="M58" s="24" t="s">
        <v>267</v>
      </c>
      <c r="O58" t="str">
        <f>""</f>
        <v/>
      </c>
      <c r="P58" s="5" t="s">
        <v>117</v>
      </c>
      <c r="Q58">
        <v>1</v>
      </c>
      <c r="R58">
        <f t="shared" si="62"/>
        <v>0</v>
      </c>
      <c r="S58">
        <f t="shared" si="63"/>
        <v>0</v>
      </c>
      <c r="T58">
        <f t="shared" si="64"/>
        <v>0</v>
      </c>
      <c r="U58">
        <f t="shared" si="65"/>
        <v>0</v>
      </c>
      <c r="V58">
        <f t="shared" si="66"/>
        <v>0</v>
      </c>
      <c r="W58">
        <f t="shared" si="67"/>
        <v>0</v>
      </c>
      <c r="X58">
        <f t="shared" si="68"/>
        <v>0</v>
      </c>
      <c r="Y58">
        <f t="shared" si="69"/>
        <v>0</v>
      </c>
      <c r="Z58">
        <f t="shared" si="70"/>
        <v>0</v>
      </c>
      <c r="AA58">
        <f t="shared" si="71"/>
        <v>0</v>
      </c>
      <c r="AB58">
        <f t="shared" si="72"/>
        <v>0</v>
      </c>
      <c r="AC58">
        <f t="shared" si="73"/>
        <v>0</v>
      </c>
      <c r="AD58">
        <f t="shared" si="74"/>
        <v>0</v>
      </c>
      <c r="AE58">
        <f t="shared" si="75"/>
        <v>0</v>
      </c>
      <c r="AF58">
        <f t="shared" si="76"/>
        <v>0</v>
      </c>
      <c r="AG58">
        <f t="shared" si="77"/>
        <v>0</v>
      </c>
      <c r="AH58">
        <f t="shared" si="78"/>
        <v>0</v>
      </c>
      <c r="AI58">
        <f t="shared" si="79"/>
        <v>0</v>
      </c>
      <c r="AJ58">
        <f t="shared" si="80"/>
        <v>0</v>
      </c>
      <c r="AK58">
        <f t="shared" si="81"/>
        <v>0</v>
      </c>
      <c r="AL58">
        <f t="shared" si="82"/>
        <v>0</v>
      </c>
      <c r="AM58">
        <f t="shared" si="83"/>
        <v>0</v>
      </c>
      <c r="AN58">
        <f t="shared" si="84"/>
        <v>0</v>
      </c>
      <c r="AO58">
        <f t="shared" si="85"/>
        <v>0</v>
      </c>
      <c r="AP58">
        <f t="shared" si="86"/>
        <v>0</v>
      </c>
      <c r="AQ58">
        <f t="shared" si="87"/>
        <v>0</v>
      </c>
      <c r="AR58">
        <f t="shared" si="88"/>
        <v>0</v>
      </c>
      <c r="AS58">
        <f t="shared" si="89"/>
        <v>0</v>
      </c>
      <c r="AT58">
        <f t="shared" si="90"/>
        <v>0</v>
      </c>
      <c r="AU58">
        <f t="shared" si="91"/>
        <v>0</v>
      </c>
    </row>
    <row r="59" spans="1:51" ht="20.100000000000001" customHeight="1" x14ac:dyDescent="0.3">
      <c r="A59" s="25" t="s">
        <v>266</v>
      </c>
      <c r="B59" s="23"/>
      <c r="C59" s="24" t="s">
        <v>186</v>
      </c>
      <c r="D59" s="18">
        <v>20</v>
      </c>
      <c r="E59" s="18"/>
      <c r="F59" s="18"/>
      <c r="G59" s="18"/>
      <c r="H59" s="18"/>
      <c r="I59" s="18"/>
      <c r="J59" s="18"/>
      <c r="K59" s="18"/>
      <c r="L59" s="18"/>
      <c r="M59" s="24" t="s">
        <v>265</v>
      </c>
      <c r="O59" t="str">
        <f>""</f>
        <v/>
      </c>
      <c r="P59" s="5" t="s">
        <v>117</v>
      </c>
      <c r="Q59">
        <v>1</v>
      </c>
      <c r="R59">
        <f t="shared" si="62"/>
        <v>0</v>
      </c>
      <c r="S59">
        <f t="shared" si="63"/>
        <v>0</v>
      </c>
      <c r="T59">
        <f t="shared" si="64"/>
        <v>0</v>
      </c>
      <c r="U59">
        <f t="shared" si="65"/>
        <v>0</v>
      </c>
      <c r="V59">
        <f t="shared" si="66"/>
        <v>0</v>
      </c>
      <c r="W59">
        <f t="shared" si="67"/>
        <v>0</v>
      </c>
      <c r="X59">
        <f t="shared" si="68"/>
        <v>0</v>
      </c>
      <c r="Y59">
        <f t="shared" si="69"/>
        <v>0</v>
      </c>
      <c r="Z59">
        <f t="shared" si="70"/>
        <v>0</v>
      </c>
      <c r="AA59">
        <f t="shared" si="71"/>
        <v>0</v>
      </c>
      <c r="AB59">
        <f t="shared" si="72"/>
        <v>0</v>
      </c>
      <c r="AC59">
        <f t="shared" si="73"/>
        <v>0</v>
      </c>
      <c r="AD59">
        <f t="shared" si="74"/>
        <v>0</v>
      </c>
      <c r="AE59">
        <f t="shared" si="75"/>
        <v>0</v>
      </c>
      <c r="AF59">
        <f t="shared" si="76"/>
        <v>0</v>
      </c>
      <c r="AG59">
        <f t="shared" si="77"/>
        <v>0</v>
      </c>
      <c r="AH59">
        <f t="shared" si="78"/>
        <v>0</v>
      </c>
      <c r="AI59">
        <f t="shared" si="79"/>
        <v>0</v>
      </c>
      <c r="AJ59">
        <f t="shared" si="80"/>
        <v>0</v>
      </c>
      <c r="AK59">
        <f t="shared" si="81"/>
        <v>0</v>
      </c>
      <c r="AL59">
        <f t="shared" si="82"/>
        <v>0</v>
      </c>
      <c r="AM59">
        <f t="shared" si="83"/>
        <v>0</v>
      </c>
      <c r="AN59">
        <f t="shared" si="84"/>
        <v>0</v>
      </c>
      <c r="AO59">
        <f t="shared" si="85"/>
        <v>0</v>
      </c>
      <c r="AP59">
        <f t="shared" si="86"/>
        <v>0</v>
      </c>
      <c r="AQ59">
        <f t="shared" si="87"/>
        <v>0</v>
      </c>
      <c r="AR59">
        <f t="shared" si="88"/>
        <v>0</v>
      </c>
      <c r="AS59">
        <f t="shared" si="89"/>
        <v>0</v>
      </c>
      <c r="AT59">
        <f t="shared" si="90"/>
        <v>0</v>
      </c>
      <c r="AU59">
        <f t="shared" si="91"/>
        <v>0</v>
      </c>
    </row>
    <row r="60" spans="1:51" ht="20.100000000000001" customHeight="1" x14ac:dyDescent="0.3">
      <c r="A60" s="25" t="s">
        <v>264</v>
      </c>
      <c r="B60" s="23"/>
      <c r="C60" s="24" t="s">
        <v>170</v>
      </c>
      <c r="D60" s="18">
        <v>21.6</v>
      </c>
      <c r="E60" s="18"/>
      <c r="F60" s="18"/>
      <c r="G60" s="18"/>
      <c r="H60" s="18"/>
      <c r="I60" s="18"/>
      <c r="J60" s="18"/>
      <c r="K60" s="18"/>
      <c r="L60" s="18"/>
      <c r="M60" s="24" t="s">
        <v>263</v>
      </c>
      <c r="O60" t="str">
        <f>""</f>
        <v/>
      </c>
      <c r="P60" s="5" t="s">
        <v>117</v>
      </c>
      <c r="Q60">
        <v>1</v>
      </c>
      <c r="R60">
        <f t="shared" si="62"/>
        <v>0</v>
      </c>
      <c r="S60">
        <f t="shared" si="63"/>
        <v>0</v>
      </c>
      <c r="T60">
        <f t="shared" si="64"/>
        <v>0</v>
      </c>
      <c r="U60">
        <f t="shared" si="65"/>
        <v>0</v>
      </c>
      <c r="V60">
        <f t="shared" si="66"/>
        <v>0</v>
      </c>
      <c r="W60">
        <f t="shared" si="67"/>
        <v>0</v>
      </c>
      <c r="X60">
        <f t="shared" si="68"/>
        <v>0</v>
      </c>
      <c r="Y60">
        <f t="shared" si="69"/>
        <v>0</v>
      </c>
      <c r="Z60">
        <f t="shared" si="70"/>
        <v>0</v>
      </c>
      <c r="AA60">
        <f t="shared" si="71"/>
        <v>0</v>
      </c>
      <c r="AB60">
        <f t="shared" si="72"/>
        <v>0</v>
      </c>
      <c r="AC60">
        <f t="shared" si="73"/>
        <v>0</v>
      </c>
      <c r="AD60">
        <f t="shared" si="74"/>
        <v>0</v>
      </c>
      <c r="AE60">
        <f t="shared" si="75"/>
        <v>0</v>
      </c>
      <c r="AF60">
        <f t="shared" si="76"/>
        <v>0</v>
      </c>
      <c r="AG60">
        <f t="shared" si="77"/>
        <v>0</v>
      </c>
      <c r="AH60">
        <f t="shared" si="78"/>
        <v>0</v>
      </c>
      <c r="AI60">
        <f t="shared" si="79"/>
        <v>0</v>
      </c>
      <c r="AJ60">
        <f t="shared" si="80"/>
        <v>0</v>
      </c>
      <c r="AK60">
        <f t="shared" si="81"/>
        <v>0</v>
      </c>
      <c r="AL60">
        <f t="shared" si="82"/>
        <v>0</v>
      </c>
      <c r="AM60">
        <f t="shared" si="83"/>
        <v>0</v>
      </c>
      <c r="AN60">
        <f t="shared" si="84"/>
        <v>0</v>
      </c>
      <c r="AO60">
        <f t="shared" si="85"/>
        <v>0</v>
      </c>
      <c r="AP60">
        <f t="shared" si="86"/>
        <v>0</v>
      </c>
      <c r="AQ60">
        <f t="shared" si="87"/>
        <v>0</v>
      </c>
      <c r="AR60">
        <f t="shared" si="88"/>
        <v>0</v>
      </c>
      <c r="AS60">
        <f t="shared" si="89"/>
        <v>0</v>
      </c>
      <c r="AT60">
        <f t="shared" si="90"/>
        <v>0</v>
      </c>
      <c r="AU60">
        <f t="shared" si="91"/>
        <v>0</v>
      </c>
    </row>
    <row r="61" spans="1:51" ht="20.100000000000001" customHeight="1" x14ac:dyDescent="0.3">
      <c r="A61" s="25" t="s">
        <v>262</v>
      </c>
      <c r="B61" s="23"/>
      <c r="C61" s="24" t="s">
        <v>170</v>
      </c>
      <c r="D61" s="18">
        <v>21.6</v>
      </c>
      <c r="E61" s="18"/>
      <c r="F61" s="18"/>
      <c r="G61" s="18"/>
      <c r="H61" s="18"/>
      <c r="I61" s="18"/>
      <c r="J61" s="18"/>
      <c r="K61" s="18"/>
      <c r="L61" s="18"/>
      <c r="M61" s="24" t="s">
        <v>261</v>
      </c>
      <c r="O61" t="str">
        <f>""</f>
        <v/>
      </c>
      <c r="P61" s="5" t="s">
        <v>117</v>
      </c>
      <c r="Q61">
        <v>1</v>
      </c>
      <c r="R61">
        <f t="shared" si="62"/>
        <v>0</v>
      </c>
      <c r="S61">
        <f t="shared" si="63"/>
        <v>0</v>
      </c>
      <c r="T61">
        <f t="shared" si="64"/>
        <v>0</v>
      </c>
      <c r="U61">
        <f t="shared" si="65"/>
        <v>0</v>
      </c>
      <c r="V61">
        <f t="shared" si="66"/>
        <v>0</v>
      </c>
      <c r="W61">
        <f t="shared" si="67"/>
        <v>0</v>
      </c>
      <c r="X61">
        <f t="shared" si="68"/>
        <v>0</v>
      </c>
      <c r="Y61">
        <f t="shared" si="69"/>
        <v>0</v>
      </c>
      <c r="Z61">
        <f t="shared" si="70"/>
        <v>0</v>
      </c>
      <c r="AA61">
        <f t="shared" si="71"/>
        <v>0</v>
      </c>
      <c r="AB61">
        <f t="shared" si="72"/>
        <v>0</v>
      </c>
      <c r="AC61">
        <f t="shared" si="73"/>
        <v>0</v>
      </c>
      <c r="AD61">
        <f t="shared" si="74"/>
        <v>0</v>
      </c>
      <c r="AE61">
        <f t="shared" si="75"/>
        <v>0</v>
      </c>
      <c r="AF61">
        <f t="shared" si="76"/>
        <v>0</v>
      </c>
      <c r="AG61">
        <f t="shared" si="77"/>
        <v>0</v>
      </c>
      <c r="AH61">
        <f t="shared" si="78"/>
        <v>0</v>
      </c>
      <c r="AI61">
        <f t="shared" si="79"/>
        <v>0</v>
      </c>
      <c r="AJ61">
        <f t="shared" si="80"/>
        <v>0</v>
      </c>
      <c r="AK61">
        <f t="shared" si="81"/>
        <v>0</v>
      </c>
      <c r="AL61">
        <f t="shared" si="82"/>
        <v>0</v>
      </c>
      <c r="AM61">
        <f t="shared" si="83"/>
        <v>0</v>
      </c>
      <c r="AN61">
        <f t="shared" si="84"/>
        <v>0</v>
      </c>
      <c r="AO61">
        <f t="shared" si="85"/>
        <v>0</v>
      </c>
      <c r="AP61">
        <f t="shared" si="86"/>
        <v>0</v>
      </c>
      <c r="AQ61">
        <f t="shared" si="87"/>
        <v>0</v>
      </c>
      <c r="AR61">
        <f t="shared" si="88"/>
        <v>0</v>
      </c>
      <c r="AS61">
        <f t="shared" si="89"/>
        <v>0</v>
      </c>
      <c r="AT61">
        <f t="shared" si="90"/>
        <v>0</v>
      </c>
      <c r="AU61">
        <f t="shared" si="91"/>
        <v>0</v>
      </c>
    </row>
    <row r="62" spans="1:51" ht="20.100000000000001" customHeight="1" x14ac:dyDescent="0.3">
      <c r="A62" s="25" t="s">
        <v>260</v>
      </c>
      <c r="B62" s="23"/>
      <c r="C62" s="24" t="s">
        <v>133</v>
      </c>
      <c r="D62" s="18">
        <v>9.4269999999999996</v>
      </c>
      <c r="E62" s="18"/>
      <c r="F62" s="18"/>
      <c r="G62" s="18"/>
      <c r="H62" s="18"/>
      <c r="I62" s="18"/>
      <c r="J62" s="18"/>
      <c r="K62" s="18"/>
      <c r="L62" s="18"/>
      <c r="M62" s="21"/>
      <c r="O62" t="str">
        <f>"03"</f>
        <v>03</v>
      </c>
      <c r="P62" s="5" t="s">
        <v>117</v>
      </c>
      <c r="Q62">
        <v>1</v>
      </c>
      <c r="R62">
        <f t="shared" si="62"/>
        <v>0</v>
      </c>
      <c r="S62">
        <f t="shared" si="63"/>
        <v>0</v>
      </c>
      <c r="T62">
        <f t="shared" si="64"/>
        <v>0</v>
      </c>
      <c r="U62">
        <f t="shared" si="65"/>
        <v>0</v>
      </c>
      <c r="V62">
        <f t="shared" si="66"/>
        <v>0</v>
      </c>
      <c r="W62">
        <f t="shared" si="67"/>
        <v>0</v>
      </c>
      <c r="X62">
        <f t="shared" si="68"/>
        <v>0</v>
      </c>
      <c r="Y62">
        <f t="shared" si="69"/>
        <v>0</v>
      </c>
      <c r="Z62">
        <f t="shared" si="70"/>
        <v>0</v>
      </c>
      <c r="AA62">
        <f t="shared" si="71"/>
        <v>0</v>
      </c>
      <c r="AB62">
        <f t="shared" si="72"/>
        <v>0</v>
      </c>
      <c r="AC62">
        <f t="shared" si="73"/>
        <v>0</v>
      </c>
      <c r="AD62">
        <f t="shared" si="74"/>
        <v>0</v>
      </c>
      <c r="AE62">
        <f t="shared" si="75"/>
        <v>0</v>
      </c>
      <c r="AF62">
        <f t="shared" si="76"/>
        <v>0</v>
      </c>
      <c r="AG62">
        <f t="shared" si="77"/>
        <v>0</v>
      </c>
      <c r="AH62">
        <f t="shared" si="78"/>
        <v>0</v>
      </c>
      <c r="AI62">
        <f t="shared" si="79"/>
        <v>0</v>
      </c>
      <c r="AJ62">
        <f t="shared" si="80"/>
        <v>0</v>
      </c>
      <c r="AK62">
        <f t="shared" si="81"/>
        <v>0</v>
      </c>
      <c r="AL62">
        <f t="shared" si="82"/>
        <v>0</v>
      </c>
      <c r="AM62">
        <f t="shared" si="83"/>
        <v>0</v>
      </c>
      <c r="AN62">
        <f t="shared" si="84"/>
        <v>0</v>
      </c>
      <c r="AO62">
        <f t="shared" si="85"/>
        <v>0</v>
      </c>
      <c r="AP62">
        <f t="shared" si="86"/>
        <v>0</v>
      </c>
      <c r="AQ62">
        <f t="shared" si="87"/>
        <v>0</v>
      </c>
      <c r="AR62">
        <f t="shared" si="88"/>
        <v>0</v>
      </c>
      <c r="AS62">
        <f t="shared" si="89"/>
        <v>0</v>
      </c>
      <c r="AT62">
        <f t="shared" si="90"/>
        <v>0</v>
      </c>
      <c r="AU62">
        <f t="shared" si="91"/>
        <v>0</v>
      </c>
    </row>
    <row r="63" spans="1:51" ht="20.100000000000001" customHeight="1" x14ac:dyDescent="0.3">
      <c r="A63" s="25" t="s">
        <v>259</v>
      </c>
      <c r="B63" s="25" t="s">
        <v>258</v>
      </c>
      <c r="C63" s="24" t="s">
        <v>133</v>
      </c>
      <c r="D63" s="18">
        <v>2.5070000000000001</v>
      </c>
      <c r="E63" s="18"/>
      <c r="F63" s="18"/>
      <c r="G63" s="18"/>
      <c r="H63" s="18"/>
      <c r="I63" s="18"/>
      <c r="J63" s="18"/>
      <c r="K63" s="18"/>
      <c r="L63" s="18"/>
      <c r="M63" s="21"/>
      <c r="O63" t="str">
        <f>"03"</f>
        <v>03</v>
      </c>
      <c r="P63" s="5" t="s">
        <v>117</v>
      </c>
      <c r="Q63">
        <v>1</v>
      </c>
      <c r="R63">
        <f t="shared" si="62"/>
        <v>0</v>
      </c>
      <c r="S63">
        <f t="shared" si="63"/>
        <v>0</v>
      </c>
      <c r="T63">
        <f t="shared" si="64"/>
        <v>0</v>
      </c>
      <c r="U63">
        <f t="shared" si="65"/>
        <v>0</v>
      </c>
      <c r="V63">
        <f t="shared" si="66"/>
        <v>0</v>
      </c>
      <c r="W63">
        <f t="shared" si="67"/>
        <v>0</v>
      </c>
      <c r="X63">
        <f t="shared" si="68"/>
        <v>0</v>
      </c>
      <c r="Y63">
        <f t="shared" si="69"/>
        <v>0</v>
      </c>
      <c r="Z63">
        <f t="shared" si="70"/>
        <v>0</v>
      </c>
      <c r="AA63">
        <f t="shared" si="71"/>
        <v>0</v>
      </c>
      <c r="AB63">
        <f t="shared" si="72"/>
        <v>0</v>
      </c>
      <c r="AC63">
        <f t="shared" si="73"/>
        <v>0</v>
      </c>
      <c r="AD63">
        <f t="shared" si="74"/>
        <v>0</v>
      </c>
      <c r="AE63">
        <f t="shared" si="75"/>
        <v>0</v>
      </c>
      <c r="AF63">
        <f t="shared" si="76"/>
        <v>0</v>
      </c>
      <c r="AG63">
        <f t="shared" si="77"/>
        <v>0</v>
      </c>
      <c r="AH63">
        <f t="shared" si="78"/>
        <v>0</v>
      </c>
      <c r="AI63">
        <f t="shared" si="79"/>
        <v>0</v>
      </c>
      <c r="AJ63">
        <f t="shared" si="80"/>
        <v>0</v>
      </c>
      <c r="AK63">
        <f t="shared" si="81"/>
        <v>0</v>
      </c>
      <c r="AL63">
        <f t="shared" si="82"/>
        <v>0</v>
      </c>
      <c r="AM63">
        <f t="shared" si="83"/>
        <v>0</v>
      </c>
      <c r="AN63">
        <f t="shared" si="84"/>
        <v>0</v>
      </c>
      <c r="AO63">
        <f t="shared" si="85"/>
        <v>0</v>
      </c>
      <c r="AP63">
        <f t="shared" si="86"/>
        <v>0</v>
      </c>
      <c r="AQ63">
        <f t="shared" si="87"/>
        <v>0</v>
      </c>
      <c r="AR63">
        <f t="shared" si="88"/>
        <v>0</v>
      </c>
      <c r="AS63">
        <f t="shared" si="89"/>
        <v>0</v>
      </c>
      <c r="AT63">
        <f t="shared" si="90"/>
        <v>0</v>
      </c>
      <c r="AU63">
        <f t="shared" si="91"/>
        <v>0</v>
      </c>
    </row>
    <row r="64" spans="1:51" ht="20.100000000000001" customHeight="1" x14ac:dyDescent="0.3">
      <c r="A64" s="23"/>
      <c r="B64" s="23"/>
      <c r="C64" s="21"/>
      <c r="D64" s="18"/>
      <c r="E64" s="18"/>
      <c r="F64" s="18"/>
      <c r="G64" s="18"/>
      <c r="H64" s="18"/>
      <c r="I64" s="18"/>
      <c r="J64" s="18"/>
      <c r="K64" s="18"/>
      <c r="L64" s="18"/>
      <c r="M64" s="21"/>
    </row>
    <row r="65" spans="1:51" ht="20.100000000000001" customHeight="1" x14ac:dyDescent="0.3">
      <c r="A65" s="23"/>
      <c r="B65" s="23"/>
      <c r="C65" s="21"/>
      <c r="D65" s="18"/>
      <c r="E65" s="18"/>
      <c r="F65" s="18"/>
      <c r="G65" s="18"/>
      <c r="H65" s="18"/>
      <c r="I65" s="18"/>
      <c r="J65" s="18"/>
      <c r="K65" s="18"/>
      <c r="L65" s="18"/>
      <c r="M65" s="21"/>
    </row>
    <row r="66" spans="1:51" ht="20.100000000000001" customHeight="1" x14ac:dyDescent="0.3">
      <c r="A66" s="23"/>
      <c r="B66" s="23"/>
      <c r="C66" s="21"/>
      <c r="D66" s="18"/>
      <c r="E66" s="18"/>
      <c r="F66" s="18"/>
      <c r="G66" s="18"/>
      <c r="H66" s="18"/>
      <c r="I66" s="18"/>
      <c r="J66" s="18"/>
      <c r="K66" s="18"/>
      <c r="L66" s="18"/>
      <c r="M66" s="21"/>
    </row>
    <row r="67" spans="1:51" ht="20.100000000000001" customHeight="1" x14ac:dyDescent="0.3">
      <c r="A67" s="23"/>
      <c r="B67" s="23"/>
      <c r="C67" s="21"/>
      <c r="D67" s="18"/>
      <c r="E67" s="18"/>
      <c r="F67" s="18"/>
      <c r="G67" s="18"/>
      <c r="H67" s="18"/>
      <c r="I67" s="18"/>
      <c r="J67" s="18"/>
      <c r="K67" s="18"/>
      <c r="L67" s="18"/>
      <c r="M67" s="21"/>
    </row>
    <row r="68" spans="1:51" ht="20.100000000000001" customHeight="1" x14ac:dyDescent="0.3">
      <c r="A68" s="23"/>
      <c r="B68" s="23"/>
      <c r="C68" s="21"/>
      <c r="D68" s="18"/>
      <c r="E68" s="18"/>
      <c r="F68" s="18"/>
      <c r="G68" s="18"/>
      <c r="H68" s="18"/>
      <c r="I68" s="18"/>
      <c r="J68" s="18"/>
      <c r="K68" s="18"/>
      <c r="L68" s="18"/>
      <c r="M68" s="21"/>
    </row>
    <row r="69" spans="1:51" ht="20.100000000000001" customHeight="1" x14ac:dyDescent="0.3">
      <c r="A69" s="23"/>
      <c r="B69" s="23"/>
      <c r="C69" s="21"/>
      <c r="D69" s="18"/>
      <c r="E69" s="18"/>
      <c r="F69" s="18"/>
      <c r="G69" s="18"/>
      <c r="H69" s="18"/>
      <c r="I69" s="18"/>
      <c r="J69" s="18"/>
      <c r="K69" s="18"/>
      <c r="L69" s="18"/>
      <c r="M69" s="21"/>
    </row>
    <row r="70" spans="1:51" ht="20.100000000000001" customHeight="1" x14ac:dyDescent="0.3">
      <c r="A70" s="20" t="s">
        <v>68</v>
      </c>
      <c r="B70" s="6"/>
      <c r="C70" s="17"/>
      <c r="D70" s="4"/>
      <c r="E70" s="18"/>
      <c r="F70" s="4">
        <f>ROUNDDOWN(SUMIF(Q50:Q69, "1", F50:F69), 0)</f>
        <v>0</v>
      </c>
      <c r="G70" s="18"/>
      <c r="H70" s="4">
        <f>ROUNDDOWN(SUMIF(Q50:Q69, "1", H50:H69), 0)</f>
        <v>0</v>
      </c>
      <c r="I70" s="18"/>
      <c r="J70" s="4">
        <f>ROUNDDOWN(SUMIF(Q50:Q69, "1", J50:J69), 0)</f>
        <v>0</v>
      </c>
      <c r="K70" s="18"/>
      <c r="L70" s="4">
        <f>F70+H70+J70</f>
        <v>0</v>
      </c>
      <c r="M70" s="17"/>
      <c r="R70">
        <f t="shared" ref="R70:AY70" si="92">ROUNDDOWN(SUM(R50:R63), 0)</f>
        <v>0</v>
      </c>
      <c r="S70">
        <f t="shared" si="92"/>
        <v>0</v>
      </c>
      <c r="T70">
        <f t="shared" si="92"/>
        <v>0</v>
      </c>
      <c r="U70">
        <f t="shared" si="92"/>
        <v>0</v>
      </c>
      <c r="V70">
        <f t="shared" si="92"/>
        <v>0</v>
      </c>
      <c r="W70">
        <f t="shared" si="92"/>
        <v>0</v>
      </c>
      <c r="X70">
        <f t="shared" si="92"/>
        <v>0</v>
      </c>
      <c r="Y70">
        <f t="shared" si="92"/>
        <v>0</v>
      </c>
      <c r="Z70">
        <f t="shared" si="92"/>
        <v>0</v>
      </c>
      <c r="AA70">
        <f t="shared" si="92"/>
        <v>0</v>
      </c>
      <c r="AB70">
        <f t="shared" si="92"/>
        <v>0</v>
      </c>
      <c r="AC70">
        <f t="shared" si="92"/>
        <v>0</v>
      </c>
      <c r="AD70">
        <f t="shared" si="92"/>
        <v>0</v>
      </c>
      <c r="AE70">
        <f t="shared" si="92"/>
        <v>0</v>
      </c>
      <c r="AF70">
        <f t="shared" si="92"/>
        <v>0</v>
      </c>
      <c r="AG70">
        <f t="shared" si="92"/>
        <v>0</v>
      </c>
      <c r="AH70">
        <f t="shared" si="92"/>
        <v>0</v>
      </c>
      <c r="AI70">
        <f t="shared" si="92"/>
        <v>0</v>
      </c>
      <c r="AJ70">
        <f t="shared" si="92"/>
        <v>0</v>
      </c>
      <c r="AK70">
        <f t="shared" si="92"/>
        <v>0</v>
      </c>
      <c r="AL70">
        <f t="shared" si="92"/>
        <v>0</v>
      </c>
      <c r="AM70">
        <f t="shared" si="92"/>
        <v>0</v>
      </c>
      <c r="AN70">
        <f t="shared" si="92"/>
        <v>0</v>
      </c>
      <c r="AO70">
        <f t="shared" si="92"/>
        <v>0</v>
      </c>
      <c r="AP70">
        <f t="shared" si="92"/>
        <v>0</v>
      </c>
      <c r="AQ70">
        <f t="shared" si="92"/>
        <v>0</v>
      </c>
      <c r="AR70">
        <f t="shared" si="92"/>
        <v>0</v>
      </c>
      <c r="AS70">
        <f t="shared" si="92"/>
        <v>0</v>
      </c>
      <c r="AT70">
        <f t="shared" si="92"/>
        <v>0</v>
      </c>
      <c r="AU70">
        <f t="shared" si="92"/>
        <v>0</v>
      </c>
      <c r="AV70">
        <f t="shared" si="92"/>
        <v>0</v>
      </c>
      <c r="AW70">
        <f t="shared" si="92"/>
        <v>0</v>
      </c>
      <c r="AX70">
        <f t="shared" si="92"/>
        <v>0</v>
      </c>
      <c r="AY70">
        <f t="shared" si="92"/>
        <v>0</v>
      </c>
    </row>
    <row r="71" spans="1:51" ht="20.100000000000001" customHeight="1" x14ac:dyDescent="0.3">
      <c r="A71" s="67" t="s">
        <v>257</v>
      </c>
      <c r="B71" s="68"/>
      <c r="C71" s="68"/>
      <c r="D71" s="69"/>
      <c r="E71" s="69"/>
      <c r="F71" s="69"/>
      <c r="G71" s="69"/>
      <c r="H71" s="69"/>
      <c r="I71" s="69"/>
      <c r="J71" s="69"/>
      <c r="K71" s="69"/>
      <c r="L71" s="69"/>
      <c r="M71" s="68"/>
    </row>
    <row r="72" spans="1:51" ht="20.100000000000001" customHeight="1" x14ac:dyDescent="0.3">
      <c r="A72" s="25" t="s">
        <v>256</v>
      </c>
      <c r="B72" s="25" t="s">
        <v>255</v>
      </c>
      <c r="C72" s="24" t="s">
        <v>170</v>
      </c>
      <c r="D72" s="18">
        <v>34.799999999999997</v>
      </c>
      <c r="E72" s="18"/>
      <c r="F72" s="18"/>
      <c r="G72" s="18"/>
      <c r="H72" s="18"/>
      <c r="I72" s="18"/>
      <c r="J72" s="18"/>
      <c r="K72" s="18"/>
      <c r="L72" s="18"/>
      <c r="M72" s="24" t="s">
        <v>254</v>
      </c>
      <c r="O72" t="str">
        <f>""</f>
        <v/>
      </c>
      <c r="P72" s="5" t="s">
        <v>117</v>
      </c>
      <c r="Q72">
        <v>1</v>
      </c>
      <c r="R72">
        <f>IF(P72="기계경비", J72, 0)</f>
        <v>0</v>
      </c>
      <c r="S72">
        <f>IF(P72="운반비", L72, 0)</f>
        <v>0</v>
      </c>
      <c r="T72">
        <f>IF(P72="작업부산물", F72, 0)</f>
        <v>0</v>
      </c>
      <c r="U72">
        <f>IF(P72="관급", F72, 0)</f>
        <v>0</v>
      </c>
      <c r="V72">
        <f>IF(P72="외주비", J72, 0)</f>
        <v>0</v>
      </c>
      <c r="W72">
        <f>IF(P72="장비비", J72, 0)</f>
        <v>0</v>
      </c>
      <c r="X72">
        <f>IF(P72="폐기물처리비", L72, 0)</f>
        <v>0</v>
      </c>
      <c r="Y72">
        <f>IF(P72="가설비", J72, 0)</f>
        <v>0</v>
      </c>
      <c r="Z72">
        <f>IF(P72="잡비제외분", F72, 0)</f>
        <v>0</v>
      </c>
      <c r="AA72">
        <f>IF(P72="사급자재대", L72, 0)</f>
        <v>0</v>
      </c>
      <c r="AB72">
        <f>IF(P72="관급자재대", L72, 0)</f>
        <v>0</v>
      </c>
      <c r="AC72">
        <f>IF(P72="관급자관급", L72, 0)</f>
        <v>0</v>
      </c>
      <c r="AD72">
        <f>IF(P72="품질시험비", L72, 0)</f>
        <v>0</v>
      </c>
      <c r="AE72">
        <f>IF(P72="수도광열비", L72, 0)</f>
        <v>0</v>
      </c>
      <c r="AF72">
        <f>IF(P72="공기중석면농도측정비", L72, 0)</f>
        <v>0</v>
      </c>
      <c r="AG72">
        <f>IF(P72="사용자항목5", L72, 0)</f>
        <v>0</v>
      </c>
      <c r="AH72">
        <f>IF(P72="사용자항목6", L72, 0)</f>
        <v>0</v>
      </c>
      <c r="AI72">
        <f>IF(P72="사용자항목7", L72, 0)</f>
        <v>0</v>
      </c>
      <c r="AJ72">
        <f>IF(P72="관급자재대2", L72, 0)</f>
        <v>0</v>
      </c>
      <c r="AK72">
        <f>IF(P72="작업부산물", L72, 0)</f>
        <v>0</v>
      </c>
      <c r="AL72">
        <f>IF(P72="해체계획비및검토비", L72, 0)</f>
        <v>0</v>
      </c>
      <c r="AM72">
        <f>IF(P72="사용자항목11", L72, 0)</f>
        <v>0</v>
      </c>
      <c r="AN72">
        <f>IF(P72="사용자항목12", L72, 0)</f>
        <v>0</v>
      </c>
      <c r="AO72">
        <f>IF(P72="사용자항목13", L72, 0)</f>
        <v>0</v>
      </c>
      <c r="AP72">
        <f>IF(P72="사용자항목14", L72, 0)</f>
        <v>0</v>
      </c>
      <c r="AQ72">
        <f>IF(P72="사용자항목15", L72, 0)</f>
        <v>0</v>
      </c>
      <c r="AR72">
        <f>IF(P72="사용자항목16", L72, 0)</f>
        <v>0</v>
      </c>
      <c r="AS72">
        <f>IF(P72="사용자항목17", L72, 0)</f>
        <v>0</v>
      </c>
      <c r="AT72">
        <f>IF(P72="사용자항목18", L72, 0)</f>
        <v>0</v>
      </c>
      <c r="AU72">
        <f>IF(P72="사용자항목19", L72, 0)</f>
        <v>0</v>
      </c>
      <c r="AY72" s="5" t="s">
        <v>178</v>
      </c>
    </row>
    <row r="73" spans="1:51" ht="20.100000000000001" customHeight="1" x14ac:dyDescent="0.3">
      <c r="A73" s="23"/>
      <c r="B73" s="23"/>
      <c r="C73" s="21"/>
      <c r="D73" s="18"/>
      <c r="E73" s="18"/>
      <c r="F73" s="18"/>
      <c r="G73" s="18"/>
      <c r="H73" s="18"/>
      <c r="I73" s="18"/>
      <c r="J73" s="18"/>
      <c r="K73" s="18"/>
      <c r="L73" s="18"/>
      <c r="M73" s="21"/>
    </row>
    <row r="74" spans="1:51" ht="20.100000000000001" customHeight="1" x14ac:dyDescent="0.3">
      <c r="A74" s="23"/>
      <c r="B74" s="23"/>
      <c r="C74" s="21"/>
      <c r="D74" s="18"/>
      <c r="E74" s="18"/>
      <c r="F74" s="18"/>
      <c r="G74" s="18"/>
      <c r="H74" s="18"/>
      <c r="I74" s="18"/>
      <c r="J74" s="18"/>
      <c r="K74" s="18"/>
      <c r="L74" s="18"/>
      <c r="M74" s="21"/>
    </row>
    <row r="75" spans="1:51" ht="20.100000000000001" customHeight="1" x14ac:dyDescent="0.3">
      <c r="A75" s="23"/>
      <c r="B75" s="23"/>
      <c r="C75" s="21"/>
      <c r="D75" s="18"/>
      <c r="E75" s="18"/>
      <c r="F75" s="18"/>
      <c r="G75" s="18"/>
      <c r="H75" s="18"/>
      <c r="I75" s="18"/>
      <c r="J75" s="18"/>
      <c r="K75" s="18"/>
      <c r="L75" s="18"/>
      <c r="M75" s="21"/>
    </row>
    <row r="76" spans="1:51" ht="20.100000000000001" customHeight="1" x14ac:dyDescent="0.3">
      <c r="A76" s="23"/>
      <c r="B76" s="23"/>
      <c r="C76" s="21"/>
      <c r="D76" s="18"/>
      <c r="E76" s="18"/>
      <c r="F76" s="18"/>
      <c r="G76" s="18"/>
      <c r="H76" s="18"/>
      <c r="I76" s="18"/>
      <c r="J76" s="18"/>
      <c r="K76" s="18"/>
      <c r="L76" s="18"/>
      <c r="M76" s="21"/>
    </row>
    <row r="77" spans="1:51" ht="20.100000000000001" customHeight="1" x14ac:dyDescent="0.3">
      <c r="A77" s="23"/>
      <c r="B77" s="23"/>
      <c r="C77" s="21"/>
      <c r="D77" s="18"/>
      <c r="E77" s="18"/>
      <c r="F77" s="18"/>
      <c r="G77" s="18"/>
      <c r="H77" s="18"/>
      <c r="I77" s="18"/>
      <c r="J77" s="18"/>
      <c r="K77" s="18"/>
      <c r="L77" s="18"/>
      <c r="M77" s="21"/>
    </row>
    <row r="78" spans="1:51" ht="20.100000000000001" customHeight="1" x14ac:dyDescent="0.3">
      <c r="A78" s="23"/>
      <c r="B78" s="23"/>
      <c r="C78" s="21"/>
      <c r="D78" s="18"/>
      <c r="E78" s="18"/>
      <c r="F78" s="18"/>
      <c r="G78" s="18"/>
      <c r="H78" s="18"/>
      <c r="I78" s="18"/>
      <c r="J78" s="18"/>
      <c r="K78" s="18"/>
      <c r="L78" s="18"/>
      <c r="M78" s="21"/>
    </row>
    <row r="79" spans="1:51" ht="20.100000000000001" customHeight="1" x14ac:dyDescent="0.3">
      <c r="A79" s="23"/>
      <c r="B79" s="23"/>
      <c r="C79" s="21"/>
      <c r="D79" s="18"/>
      <c r="E79" s="18"/>
      <c r="F79" s="18"/>
      <c r="G79" s="18"/>
      <c r="H79" s="18"/>
      <c r="I79" s="18"/>
      <c r="J79" s="18"/>
      <c r="K79" s="18"/>
      <c r="L79" s="18"/>
      <c r="M79" s="21"/>
    </row>
    <row r="80" spans="1:51" ht="20.100000000000001" customHeight="1" x14ac:dyDescent="0.3">
      <c r="A80" s="23"/>
      <c r="B80" s="23"/>
      <c r="C80" s="21"/>
      <c r="D80" s="18"/>
      <c r="E80" s="18"/>
      <c r="F80" s="18"/>
      <c r="G80" s="18"/>
      <c r="H80" s="18"/>
      <c r="I80" s="18"/>
      <c r="J80" s="18"/>
      <c r="K80" s="18"/>
      <c r="L80" s="18"/>
      <c r="M80" s="21"/>
    </row>
    <row r="81" spans="1:51" ht="20.100000000000001" customHeight="1" x14ac:dyDescent="0.3">
      <c r="A81" s="23"/>
      <c r="B81" s="23"/>
      <c r="C81" s="21"/>
      <c r="D81" s="18"/>
      <c r="E81" s="18"/>
      <c r="F81" s="18"/>
      <c r="G81" s="18"/>
      <c r="H81" s="18"/>
      <c r="I81" s="18"/>
      <c r="J81" s="18"/>
      <c r="K81" s="18"/>
      <c r="L81" s="18"/>
      <c r="M81" s="21"/>
    </row>
    <row r="82" spans="1:51" ht="20.100000000000001" customHeight="1" x14ac:dyDescent="0.3">
      <c r="A82" s="23"/>
      <c r="B82" s="23"/>
      <c r="C82" s="21"/>
      <c r="D82" s="18"/>
      <c r="E82" s="18"/>
      <c r="F82" s="18"/>
      <c r="G82" s="18"/>
      <c r="H82" s="18"/>
      <c r="I82" s="18"/>
      <c r="J82" s="18"/>
      <c r="K82" s="18"/>
      <c r="L82" s="18"/>
      <c r="M82" s="21"/>
    </row>
    <row r="83" spans="1:51" ht="20.100000000000001" customHeight="1" x14ac:dyDescent="0.3">
      <c r="A83" s="23"/>
      <c r="B83" s="23"/>
      <c r="C83" s="21"/>
      <c r="D83" s="18"/>
      <c r="E83" s="18"/>
      <c r="F83" s="18"/>
      <c r="G83" s="18"/>
      <c r="H83" s="18"/>
      <c r="I83" s="18"/>
      <c r="J83" s="18"/>
      <c r="K83" s="18"/>
      <c r="L83" s="18"/>
      <c r="M83" s="21"/>
    </row>
    <row r="84" spans="1:51" ht="20.100000000000001" customHeight="1" x14ac:dyDescent="0.3">
      <c r="A84" s="23"/>
      <c r="B84" s="23"/>
      <c r="C84" s="21"/>
      <c r="D84" s="18"/>
      <c r="E84" s="18"/>
      <c r="F84" s="18"/>
      <c r="G84" s="18"/>
      <c r="H84" s="18"/>
      <c r="I84" s="18"/>
      <c r="J84" s="18"/>
      <c r="K84" s="18"/>
      <c r="L84" s="18"/>
      <c r="M84" s="21"/>
    </row>
    <row r="85" spans="1:51" ht="20.100000000000001" customHeight="1" x14ac:dyDescent="0.3">
      <c r="A85" s="23"/>
      <c r="B85" s="23"/>
      <c r="C85" s="21"/>
      <c r="D85" s="18"/>
      <c r="E85" s="18"/>
      <c r="F85" s="18"/>
      <c r="G85" s="18"/>
      <c r="H85" s="18"/>
      <c r="I85" s="18"/>
      <c r="J85" s="18"/>
      <c r="K85" s="18"/>
      <c r="L85" s="18"/>
      <c r="M85" s="21"/>
    </row>
    <row r="86" spans="1:51" ht="20.100000000000001" customHeight="1" x14ac:dyDescent="0.3">
      <c r="A86" s="23"/>
      <c r="B86" s="23"/>
      <c r="C86" s="21"/>
      <c r="D86" s="18"/>
      <c r="E86" s="18"/>
      <c r="F86" s="18"/>
      <c r="G86" s="18"/>
      <c r="H86" s="18"/>
      <c r="I86" s="18"/>
      <c r="J86" s="18"/>
      <c r="K86" s="18"/>
      <c r="L86" s="18"/>
      <c r="M86" s="21"/>
    </row>
    <row r="87" spans="1:51" ht="20.100000000000001" customHeight="1" x14ac:dyDescent="0.3">
      <c r="A87" s="23"/>
      <c r="B87" s="23"/>
      <c r="C87" s="21"/>
      <c r="D87" s="18"/>
      <c r="E87" s="18"/>
      <c r="F87" s="18"/>
      <c r="G87" s="18"/>
      <c r="H87" s="18"/>
      <c r="I87" s="18"/>
      <c r="J87" s="18"/>
      <c r="K87" s="18"/>
      <c r="L87" s="18"/>
      <c r="M87" s="21"/>
    </row>
    <row r="88" spans="1:51" ht="20.100000000000001" customHeight="1" x14ac:dyDescent="0.3">
      <c r="A88" s="23"/>
      <c r="B88" s="23"/>
      <c r="C88" s="21"/>
      <c r="D88" s="18"/>
      <c r="E88" s="18"/>
      <c r="F88" s="18"/>
      <c r="G88" s="18"/>
      <c r="H88" s="18"/>
      <c r="I88" s="18"/>
      <c r="J88" s="18"/>
      <c r="K88" s="18"/>
      <c r="L88" s="18"/>
      <c r="M88" s="21"/>
    </row>
    <row r="89" spans="1:51" ht="20.100000000000001" customHeight="1" x14ac:dyDescent="0.3">
      <c r="A89" s="23"/>
      <c r="B89" s="23"/>
      <c r="C89" s="21"/>
      <c r="D89" s="18"/>
      <c r="E89" s="18"/>
      <c r="F89" s="18"/>
      <c r="G89" s="18"/>
      <c r="H89" s="18"/>
      <c r="I89" s="18"/>
      <c r="J89" s="18"/>
      <c r="K89" s="18"/>
      <c r="L89" s="18"/>
      <c r="M89" s="21"/>
    </row>
    <row r="90" spans="1:51" ht="20.100000000000001" customHeight="1" x14ac:dyDescent="0.3">
      <c r="A90" s="23"/>
      <c r="B90" s="23"/>
      <c r="C90" s="21"/>
      <c r="D90" s="18"/>
      <c r="E90" s="18"/>
      <c r="F90" s="18"/>
      <c r="G90" s="18"/>
      <c r="H90" s="18"/>
      <c r="I90" s="18"/>
      <c r="J90" s="18"/>
      <c r="K90" s="18"/>
      <c r="L90" s="18"/>
      <c r="M90" s="21"/>
    </row>
    <row r="91" spans="1:51" ht="20.100000000000001" customHeight="1" x14ac:dyDescent="0.3">
      <c r="A91" s="23"/>
      <c r="B91" s="23"/>
      <c r="C91" s="21"/>
      <c r="D91" s="18"/>
      <c r="E91" s="18"/>
      <c r="F91" s="18"/>
      <c r="G91" s="18"/>
      <c r="H91" s="18"/>
      <c r="I91" s="18"/>
      <c r="J91" s="18"/>
      <c r="K91" s="18"/>
      <c r="L91" s="18"/>
      <c r="M91" s="21"/>
    </row>
    <row r="92" spans="1:51" ht="20.100000000000001" customHeight="1" x14ac:dyDescent="0.3">
      <c r="A92" s="20" t="s">
        <v>68</v>
      </c>
      <c r="B92" s="6"/>
      <c r="C92" s="17"/>
      <c r="D92" s="4"/>
      <c r="E92" s="18"/>
      <c r="F92" s="4">
        <f>ROUNDDOWN(SUMIF(Q72:Q91, "1", F72:F91), 0)</f>
        <v>0</v>
      </c>
      <c r="G92" s="18"/>
      <c r="H92" s="4">
        <f>ROUNDDOWN(SUMIF(Q72:Q91, "1", H72:H91), 0)</f>
        <v>0</v>
      </c>
      <c r="I92" s="18"/>
      <c r="J92" s="4">
        <f>ROUNDDOWN(SUMIF(Q72:Q91, "1", J72:J91), 0)</f>
        <v>0</v>
      </c>
      <c r="K92" s="18"/>
      <c r="L92" s="4">
        <f>F92+H92+J92</f>
        <v>0</v>
      </c>
      <c r="M92" s="17"/>
      <c r="R92">
        <f t="shared" ref="R92:AY92" si="93">ROUNDDOWN(SUM(R72:R72), 0)</f>
        <v>0</v>
      </c>
      <c r="S92">
        <f t="shared" si="93"/>
        <v>0</v>
      </c>
      <c r="T92">
        <f t="shared" si="93"/>
        <v>0</v>
      </c>
      <c r="U92">
        <f t="shared" si="93"/>
        <v>0</v>
      </c>
      <c r="V92">
        <f t="shared" si="93"/>
        <v>0</v>
      </c>
      <c r="W92">
        <f t="shared" si="93"/>
        <v>0</v>
      </c>
      <c r="X92">
        <f t="shared" si="93"/>
        <v>0</v>
      </c>
      <c r="Y92">
        <f t="shared" si="93"/>
        <v>0</v>
      </c>
      <c r="Z92">
        <f t="shared" si="93"/>
        <v>0</v>
      </c>
      <c r="AA92">
        <f t="shared" si="93"/>
        <v>0</v>
      </c>
      <c r="AB92">
        <f t="shared" si="93"/>
        <v>0</v>
      </c>
      <c r="AC92">
        <f t="shared" si="93"/>
        <v>0</v>
      </c>
      <c r="AD92">
        <f t="shared" si="93"/>
        <v>0</v>
      </c>
      <c r="AE92">
        <f t="shared" si="93"/>
        <v>0</v>
      </c>
      <c r="AF92">
        <f t="shared" si="93"/>
        <v>0</v>
      </c>
      <c r="AG92">
        <f t="shared" si="93"/>
        <v>0</v>
      </c>
      <c r="AH92">
        <f t="shared" si="93"/>
        <v>0</v>
      </c>
      <c r="AI92">
        <f t="shared" si="93"/>
        <v>0</v>
      </c>
      <c r="AJ92">
        <f t="shared" si="93"/>
        <v>0</v>
      </c>
      <c r="AK92">
        <f t="shared" si="93"/>
        <v>0</v>
      </c>
      <c r="AL92">
        <f t="shared" si="93"/>
        <v>0</v>
      </c>
      <c r="AM92">
        <f t="shared" si="93"/>
        <v>0</v>
      </c>
      <c r="AN92">
        <f t="shared" si="93"/>
        <v>0</v>
      </c>
      <c r="AO92">
        <f t="shared" si="93"/>
        <v>0</v>
      </c>
      <c r="AP92">
        <f t="shared" si="93"/>
        <v>0</v>
      </c>
      <c r="AQ92">
        <f t="shared" si="93"/>
        <v>0</v>
      </c>
      <c r="AR92">
        <f t="shared" si="93"/>
        <v>0</v>
      </c>
      <c r="AS92">
        <f t="shared" si="93"/>
        <v>0</v>
      </c>
      <c r="AT92">
        <f t="shared" si="93"/>
        <v>0</v>
      </c>
      <c r="AU92">
        <f t="shared" si="93"/>
        <v>0</v>
      </c>
      <c r="AV92">
        <f t="shared" si="93"/>
        <v>0</v>
      </c>
      <c r="AW92">
        <f t="shared" si="93"/>
        <v>0</v>
      </c>
      <c r="AX92">
        <f t="shared" si="93"/>
        <v>0</v>
      </c>
      <c r="AY92">
        <f t="shared" si="93"/>
        <v>0</v>
      </c>
    </row>
    <row r="93" spans="1:51" ht="20.100000000000001" customHeight="1" x14ac:dyDescent="0.3">
      <c r="A93" s="67" t="s">
        <v>253</v>
      </c>
      <c r="B93" s="68"/>
      <c r="C93" s="68"/>
      <c r="D93" s="69"/>
      <c r="E93" s="69"/>
      <c r="F93" s="69"/>
      <c r="G93" s="69"/>
      <c r="H93" s="69"/>
      <c r="I93" s="69"/>
      <c r="J93" s="69"/>
      <c r="K93" s="69"/>
      <c r="L93" s="69"/>
      <c r="M93" s="68"/>
    </row>
    <row r="94" spans="1:51" ht="20.100000000000001" customHeight="1" x14ac:dyDescent="0.3">
      <c r="A94" s="25" t="s">
        <v>184</v>
      </c>
      <c r="B94" s="25" t="s">
        <v>183</v>
      </c>
      <c r="C94" s="24" t="s">
        <v>170</v>
      </c>
      <c r="D94" s="18">
        <v>2.9</v>
      </c>
      <c r="E94" s="18"/>
      <c r="F94" s="18"/>
      <c r="G94" s="18"/>
      <c r="H94" s="18"/>
      <c r="I94" s="18"/>
      <c r="J94" s="18"/>
      <c r="K94" s="18"/>
      <c r="L94" s="18"/>
      <c r="M94" s="24" t="s">
        <v>182</v>
      </c>
      <c r="O94" t="str">
        <f>""</f>
        <v/>
      </c>
      <c r="P94" s="5" t="s">
        <v>117</v>
      </c>
      <c r="Q94">
        <v>1</v>
      </c>
      <c r="R94">
        <f>IF(P94="기계경비", J94, 0)</f>
        <v>0</v>
      </c>
      <c r="S94">
        <f>IF(P94="운반비", L94, 0)</f>
        <v>0</v>
      </c>
      <c r="T94">
        <f>IF(P94="작업부산물", F94, 0)</f>
        <v>0</v>
      </c>
      <c r="U94">
        <f>IF(P94="관급", F94, 0)</f>
        <v>0</v>
      </c>
      <c r="V94">
        <f>IF(P94="외주비", J94, 0)</f>
        <v>0</v>
      </c>
      <c r="W94">
        <f>IF(P94="장비비", J94, 0)</f>
        <v>0</v>
      </c>
      <c r="X94">
        <f>IF(P94="폐기물처리비", L94, 0)</f>
        <v>0</v>
      </c>
      <c r="Y94">
        <f>IF(P94="가설비", J94, 0)</f>
        <v>0</v>
      </c>
      <c r="Z94">
        <f>IF(P94="잡비제외분", F94, 0)</f>
        <v>0</v>
      </c>
      <c r="AA94">
        <f>IF(P94="사급자재대", L94, 0)</f>
        <v>0</v>
      </c>
      <c r="AB94">
        <f>IF(P94="관급자재대", L94, 0)</f>
        <v>0</v>
      </c>
      <c r="AC94">
        <f>IF(P94="관급자관급", L94, 0)</f>
        <v>0</v>
      </c>
      <c r="AD94">
        <f>IF(P94="품질시험비", L94, 0)</f>
        <v>0</v>
      </c>
      <c r="AE94">
        <f>IF(P94="수도광열비", L94, 0)</f>
        <v>0</v>
      </c>
      <c r="AF94">
        <f>IF(P94="공기중석면농도측정비", L94, 0)</f>
        <v>0</v>
      </c>
      <c r="AG94">
        <f>IF(P94="사용자항목5", L94, 0)</f>
        <v>0</v>
      </c>
      <c r="AH94">
        <f>IF(P94="사용자항목6", L94, 0)</f>
        <v>0</v>
      </c>
      <c r="AI94">
        <f>IF(P94="사용자항목7", L94, 0)</f>
        <v>0</v>
      </c>
      <c r="AJ94">
        <f>IF(P94="관급자재대2", L94, 0)</f>
        <v>0</v>
      </c>
      <c r="AK94">
        <f>IF(P94="작업부산물", L94, 0)</f>
        <v>0</v>
      </c>
      <c r="AL94">
        <f>IF(P94="해체계획비및검토비", L94, 0)</f>
        <v>0</v>
      </c>
      <c r="AM94">
        <f>IF(P94="사용자항목11", L94, 0)</f>
        <v>0</v>
      </c>
      <c r="AN94">
        <f>IF(P94="사용자항목12", L94, 0)</f>
        <v>0</v>
      </c>
      <c r="AO94">
        <f>IF(P94="사용자항목13", L94, 0)</f>
        <v>0</v>
      </c>
      <c r="AP94">
        <f>IF(P94="사용자항목14", L94, 0)</f>
        <v>0</v>
      </c>
      <c r="AQ94">
        <f>IF(P94="사용자항목15", L94, 0)</f>
        <v>0</v>
      </c>
      <c r="AR94">
        <f>IF(P94="사용자항목16", L94, 0)</f>
        <v>0</v>
      </c>
      <c r="AS94">
        <f>IF(P94="사용자항목17", L94, 0)</f>
        <v>0</v>
      </c>
      <c r="AT94">
        <f>IF(P94="사용자항목18", L94, 0)</f>
        <v>0</v>
      </c>
      <c r="AU94">
        <f>IF(P94="사용자항목19", L94, 0)</f>
        <v>0</v>
      </c>
    </row>
    <row r="95" spans="1:51" ht="20.100000000000001" customHeight="1" x14ac:dyDescent="0.3">
      <c r="A95" s="25" t="s">
        <v>252</v>
      </c>
      <c r="B95" s="25" t="s">
        <v>251</v>
      </c>
      <c r="C95" s="24" t="s">
        <v>170</v>
      </c>
      <c r="D95" s="18">
        <v>2.9</v>
      </c>
      <c r="E95" s="18"/>
      <c r="F95" s="18"/>
      <c r="G95" s="18"/>
      <c r="H95" s="18"/>
      <c r="I95" s="18"/>
      <c r="J95" s="18"/>
      <c r="K95" s="18"/>
      <c r="L95" s="18"/>
      <c r="M95" s="24" t="s">
        <v>250</v>
      </c>
      <c r="O95" t="str">
        <f>""</f>
        <v/>
      </c>
      <c r="P95" s="5" t="s">
        <v>117</v>
      </c>
      <c r="Q95">
        <v>1</v>
      </c>
      <c r="R95">
        <f>IF(P95="기계경비", J95, 0)</f>
        <v>0</v>
      </c>
      <c r="S95">
        <f>IF(P95="운반비", L95, 0)</f>
        <v>0</v>
      </c>
      <c r="T95">
        <f>IF(P95="작업부산물", F95, 0)</f>
        <v>0</v>
      </c>
      <c r="U95">
        <f>IF(P95="관급", F95, 0)</f>
        <v>0</v>
      </c>
      <c r="V95">
        <f>IF(P95="외주비", J95, 0)</f>
        <v>0</v>
      </c>
      <c r="W95">
        <f>IF(P95="장비비", J95, 0)</f>
        <v>0</v>
      </c>
      <c r="X95">
        <f>IF(P95="폐기물처리비", L95, 0)</f>
        <v>0</v>
      </c>
      <c r="Y95">
        <f>IF(P95="가설비", J95, 0)</f>
        <v>0</v>
      </c>
      <c r="Z95">
        <f>IF(P95="잡비제외분", F95, 0)</f>
        <v>0</v>
      </c>
      <c r="AA95">
        <f>IF(P95="사급자재대", L95, 0)</f>
        <v>0</v>
      </c>
      <c r="AB95">
        <f>IF(P95="관급자재대", L95, 0)</f>
        <v>0</v>
      </c>
      <c r="AC95">
        <f>IF(P95="관급자관급", L95, 0)</f>
        <v>0</v>
      </c>
      <c r="AD95">
        <f>IF(P95="품질시험비", L95, 0)</f>
        <v>0</v>
      </c>
      <c r="AE95">
        <f>IF(P95="수도광열비", L95, 0)</f>
        <v>0</v>
      </c>
      <c r="AF95">
        <f>IF(P95="공기중석면농도측정비", L95, 0)</f>
        <v>0</v>
      </c>
      <c r="AG95">
        <f>IF(P95="사용자항목5", L95, 0)</f>
        <v>0</v>
      </c>
      <c r="AH95">
        <f>IF(P95="사용자항목6", L95, 0)</f>
        <v>0</v>
      </c>
      <c r="AI95">
        <f>IF(P95="사용자항목7", L95, 0)</f>
        <v>0</v>
      </c>
      <c r="AJ95">
        <f>IF(P95="관급자재대2", L95, 0)</f>
        <v>0</v>
      </c>
      <c r="AK95">
        <f>IF(P95="작업부산물", L95, 0)</f>
        <v>0</v>
      </c>
      <c r="AL95">
        <f>IF(P95="해체계획비및검토비", L95, 0)</f>
        <v>0</v>
      </c>
      <c r="AM95">
        <f>IF(P95="사용자항목11", L95, 0)</f>
        <v>0</v>
      </c>
      <c r="AN95">
        <f>IF(P95="사용자항목12", L95, 0)</f>
        <v>0</v>
      </c>
      <c r="AO95">
        <f>IF(P95="사용자항목13", L95, 0)</f>
        <v>0</v>
      </c>
      <c r="AP95">
        <f>IF(P95="사용자항목14", L95, 0)</f>
        <v>0</v>
      </c>
      <c r="AQ95">
        <f>IF(P95="사용자항목15", L95, 0)</f>
        <v>0</v>
      </c>
      <c r="AR95">
        <f>IF(P95="사용자항목16", L95, 0)</f>
        <v>0</v>
      </c>
      <c r="AS95">
        <f>IF(P95="사용자항목17", L95, 0)</f>
        <v>0</v>
      </c>
      <c r="AT95">
        <f>IF(P95="사용자항목18", L95, 0)</f>
        <v>0</v>
      </c>
      <c r="AU95">
        <f>IF(P95="사용자항목19", L95, 0)</f>
        <v>0</v>
      </c>
    </row>
    <row r="96" spans="1:51" ht="20.100000000000001" customHeight="1" x14ac:dyDescent="0.3">
      <c r="A96" s="25" t="s">
        <v>249</v>
      </c>
      <c r="B96" s="25" t="s">
        <v>248</v>
      </c>
      <c r="C96" s="24" t="s">
        <v>170</v>
      </c>
      <c r="D96" s="18">
        <v>2.9</v>
      </c>
      <c r="E96" s="18"/>
      <c r="F96" s="18"/>
      <c r="G96" s="18"/>
      <c r="H96" s="18"/>
      <c r="I96" s="18"/>
      <c r="J96" s="18"/>
      <c r="K96" s="18"/>
      <c r="L96" s="18"/>
      <c r="M96" s="21"/>
      <c r="O96" t="str">
        <f>"01"</f>
        <v>01</v>
      </c>
      <c r="P96" s="5" t="s">
        <v>117</v>
      </c>
      <c r="Q96">
        <v>1</v>
      </c>
      <c r="R96">
        <f>IF(P96="기계경비", J96, 0)</f>
        <v>0</v>
      </c>
      <c r="S96">
        <f>IF(P96="운반비", L96, 0)</f>
        <v>0</v>
      </c>
      <c r="T96">
        <f>IF(P96="작업부산물", F96, 0)</f>
        <v>0</v>
      </c>
      <c r="U96">
        <f>IF(P96="관급", F96, 0)</f>
        <v>0</v>
      </c>
      <c r="V96">
        <f>IF(P96="외주비", J96, 0)</f>
        <v>0</v>
      </c>
      <c r="W96">
        <f>IF(P96="장비비", J96, 0)</f>
        <v>0</v>
      </c>
      <c r="X96">
        <f>IF(P96="폐기물처리비", L96, 0)</f>
        <v>0</v>
      </c>
      <c r="Y96">
        <f>IF(P96="가설비", J96, 0)</f>
        <v>0</v>
      </c>
      <c r="Z96">
        <f>IF(P96="잡비제외분", F96, 0)</f>
        <v>0</v>
      </c>
      <c r="AA96">
        <f>IF(P96="사급자재대", L96, 0)</f>
        <v>0</v>
      </c>
      <c r="AB96">
        <f>IF(P96="관급자재대", L96, 0)</f>
        <v>0</v>
      </c>
      <c r="AC96">
        <f>IF(P96="관급자관급", L96, 0)</f>
        <v>0</v>
      </c>
      <c r="AD96">
        <f>IF(P96="품질시험비", L96, 0)</f>
        <v>0</v>
      </c>
      <c r="AE96">
        <f>IF(P96="수도광열비", L96, 0)</f>
        <v>0</v>
      </c>
      <c r="AF96">
        <f>IF(P96="공기중석면농도측정비", L96, 0)</f>
        <v>0</v>
      </c>
      <c r="AG96">
        <f>IF(P96="사용자항목5", L96, 0)</f>
        <v>0</v>
      </c>
      <c r="AH96">
        <f>IF(P96="사용자항목6", L96, 0)</f>
        <v>0</v>
      </c>
      <c r="AI96">
        <f>IF(P96="사용자항목7", L96, 0)</f>
        <v>0</v>
      </c>
      <c r="AJ96">
        <f>IF(P96="관급자재대2", L96, 0)</f>
        <v>0</v>
      </c>
      <c r="AK96">
        <f>IF(P96="작업부산물", L96, 0)</f>
        <v>0</v>
      </c>
      <c r="AL96">
        <f>IF(P96="해체계획비및검토비", L96, 0)</f>
        <v>0</v>
      </c>
      <c r="AM96">
        <f>IF(P96="사용자항목11", L96, 0)</f>
        <v>0</v>
      </c>
      <c r="AN96">
        <f>IF(P96="사용자항목12", L96, 0)</f>
        <v>0</v>
      </c>
      <c r="AO96">
        <f>IF(P96="사용자항목13", L96, 0)</f>
        <v>0</v>
      </c>
      <c r="AP96">
        <f>IF(P96="사용자항목14", L96, 0)</f>
        <v>0</v>
      </c>
      <c r="AQ96">
        <f>IF(P96="사용자항목15", L96, 0)</f>
        <v>0</v>
      </c>
      <c r="AR96">
        <f>IF(P96="사용자항목16", L96, 0)</f>
        <v>0</v>
      </c>
      <c r="AS96">
        <f>IF(P96="사용자항목17", L96, 0)</f>
        <v>0</v>
      </c>
      <c r="AT96">
        <f>IF(P96="사용자항목18", L96, 0)</f>
        <v>0</v>
      </c>
      <c r="AU96">
        <f>IF(P96="사용자항목19", L96, 0)</f>
        <v>0</v>
      </c>
    </row>
    <row r="97" spans="1:51" ht="20.100000000000001" customHeight="1" x14ac:dyDescent="0.3">
      <c r="A97" s="25" t="s">
        <v>227</v>
      </c>
      <c r="B97" s="25" t="s">
        <v>226</v>
      </c>
      <c r="C97" s="24" t="s">
        <v>186</v>
      </c>
      <c r="D97" s="18">
        <v>0.8</v>
      </c>
      <c r="E97" s="18"/>
      <c r="F97" s="18"/>
      <c r="G97" s="18"/>
      <c r="H97" s="18"/>
      <c r="I97" s="18"/>
      <c r="J97" s="18"/>
      <c r="K97" s="18"/>
      <c r="L97" s="18"/>
      <c r="M97" s="24" t="s">
        <v>225</v>
      </c>
      <c r="O97" t="str">
        <f>""</f>
        <v/>
      </c>
      <c r="P97" s="5" t="s">
        <v>117</v>
      </c>
      <c r="Q97">
        <v>1</v>
      </c>
      <c r="R97">
        <f>IF(P97="기계경비", J97, 0)</f>
        <v>0</v>
      </c>
      <c r="S97">
        <f>IF(P97="운반비", L97, 0)</f>
        <v>0</v>
      </c>
      <c r="T97">
        <f>IF(P97="작업부산물", F97, 0)</f>
        <v>0</v>
      </c>
      <c r="U97">
        <f>IF(P97="관급", F97, 0)</f>
        <v>0</v>
      </c>
      <c r="V97">
        <f>IF(P97="외주비", J97, 0)</f>
        <v>0</v>
      </c>
      <c r="W97">
        <f>IF(P97="장비비", J97, 0)</f>
        <v>0</v>
      </c>
      <c r="X97">
        <f>IF(P97="폐기물처리비", L97, 0)</f>
        <v>0</v>
      </c>
      <c r="Y97">
        <f>IF(P97="가설비", J97, 0)</f>
        <v>0</v>
      </c>
      <c r="Z97">
        <f>IF(P97="잡비제외분", F97, 0)</f>
        <v>0</v>
      </c>
      <c r="AA97">
        <f>IF(P97="사급자재대", L97, 0)</f>
        <v>0</v>
      </c>
      <c r="AB97">
        <f>IF(P97="관급자재대", L97, 0)</f>
        <v>0</v>
      </c>
      <c r="AC97">
        <f>IF(P97="관급자관급", L97, 0)</f>
        <v>0</v>
      </c>
      <c r="AD97">
        <f>IF(P97="품질시험비", L97, 0)</f>
        <v>0</v>
      </c>
      <c r="AE97">
        <f>IF(P97="수도광열비", L97, 0)</f>
        <v>0</v>
      </c>
      <c r="AF97">
        <f>IF(P97="공기중석면농도측정비", L97, 0)</f>
        <v>0</v>
      </c>
      <c r="AG97">
        <f>IF(P97="사용자항목5", L97, 0)</f>
        <v>0</v>
      </c>
      <c r="AH97">
        <f>IF(P97="사용자항목6", L97, 0)</f>
        <v>0</v>
      </c>
      <c r="AI97">
        <f>IF(P97="사용자항목7", L97, 0)</f>
        <v>0</v>
      </c>
      <c r="AJ97">
        <f>IF(P97="관급자재대2", L97, 0)</f>
        <v>0</v>
      </c>
      <c r="AK97">
        <f>IF(P97="작업부산물", L97, 0)</f>
        <v>0</v>
      </c>
      <c r="AL97">
        <f>IF(P97="해체계획비및검토비", L97, 0)</f>
        <v>0</v>
      </c>
      <c r="AM97">
        <f>IF(P97="사용자항목11", L97, 0)</f>
        <v>0</v>
      </c>
      <c r="AN97">
        <f>IF(P97="사용자항목12", L97, 0)</f>
        <v>0</v>
      </c>
      <c r="AO97">
        <f>IF(P97="사용자항목13", L97, 0)</f>
        <v>0</v>
      </c>
      <c r="AP97">
        <f>IF(P97="사용자항목14", L97, 0)</f>
        <v>0</v>
      </c>
      <c r="AQ97">
        <f>IF(P97="사용자항목15", L97, 0)</f>
        <v>0</v>
      </c>
      <c r="AR97">
        <f>IF(P97="사용자항목16", L97, 0)</f>
        <v>0</v>
      </c>
      <c r="AS97">
        <f>IF(P97="사용자항목17", L97, 0)</f>
        <v>0</v>
      </c>
      <c r="AT97">
        <f>IF(P97="사용자항목18", L97, 0)</f>
        <v>0</v>
      </c>
      <c r="AU97">
        <f>IF(P97="사용자항목19", L97, 0)</f>
        <v>0</v>
      </c>
      <c r="AY97" s="5" t="s">
        <v>178</v>
      </c>
    </row>
    <row r="98" spans="1:51" ht="20.100000000000001" customHeight="1" x14ac:dyDescent="0.3">
      <c r="A98" s="23"/>
      <c r="B98" s="23"/>
      <c r="C98" s="21"/>
      <c r="D98" s="18"/>
      <c r="E98" s="18"/>
      <c r="F98" s="18"/>
      <c r="G98" s="18"/>
      <c r="H98" s="18"/>
      <c r="I98" s="18"/>
      <c r="J98" s="18"/>
      <c r="K98" s="18"/>
      <c r="L98" s="18"/>
      <c r="M98" s="21"/>
    </row>
    <row r="99" spans="1:51" ht="20.100000000000001" customHeight="1" x14ac:dyDescent="0.3">
      <c r="A99" s="23"/>
      <c r="B99" s="23"/>
      <c r="C99" s="21"/>
      <c r="D99" s="18"/>
      <c r="E99" s="18"/>
      <c r="F99" s="18"/>
      <c r="G99" s="18"/>
      <c r="H99" s="18"/>
      <c r="I99" s="18"/>
      <c r="J99" s="18"/>
      <c r="K99" s="18"/>
      <c r="L99" s="18"/>
      <c r="M99" s="21"/>
    </row>
    <row r="100" spans="1:51" ht="20.100000000000001" customHeight="1" x14ac:dyDescent="0.3">
      <c r="A100" s="23"/>
      <c r="B100" s="23"/>
      <c r="C100" s="21"/>
      <c r="D100" s="18"/>
      <c r="E100" s="18"/>
      <c r="F100" s="18"/>
      <c r="G100" s="18"/>
      <c r="H100" s="18"/>
      <c r="I100" s="18"/>
      <c r="J100" s="18"/>
      <c r="K100" s="18"/>
      <c r="L100" s="18"/>
      <c r="M100" s="21"/>
    </row>
    <row r="101" spans="1:51" ht="20.100000000000001" customHeight="1" x14ac:dyDescent="0.3">
      <c r="A101" s="23"/>
      <c r="B101" s="23"/>
      <c r="C101" s="21"/>
      <c r="D101" s="18"/>
      <c r="E101" s="18"/>
      <c r="F101" s="18"/>
      <c r="G101" s="18"/>
      <c r="H101" s="18"/>
      <c r="I101" s="18"/>
      <c r="J101" s="18"/>
      <c r="K101" s="18"/>
      <c r="L101" s="18"/>
      <c r="M101" s="21"/>
    </row>
    <row r="102" spans="1:51" ht="20.100000000000001" customHeight="1" x14ac:dyDescent="0.3">
      <c r="A102" s="23"/>
      <c r="B102" s="23"/>
      <c r="C102" s="21"/>
      <c r="D102" s="18"/>
      <c r="E102" s="18"/>
      <c r="F102" s="18"/>
      <c r="G102" s="18"/>
      <c r="H102" s="18"/>
      <c r="I102" s="18"/>
      <c r="J102" s="18"/>
      <c r="K102" s="18"/>
      <c r="L102" s="18"/>
      <c r="M102" s="21"/>
    </row>
    <row r="103" spans="1:51" ht="20.100000000000001" customHeight="1" x14ac:dyDescent="0.3">
      <c r="A103" s="23"/>
      <c r="B103" s="23"/>
      <c r="C103" s="21"/>
      <c r="D103" s="18"/>
      <c r="E103" s="18"/>
      <c r="F103" s="18"/>
      <c r="G103" s="18"/>
      <c r="H103" s="18"/>
      <c r="I103" s="18"/>
      <c r="J103" s="18"/>
      <c r="K103" s="18"/>
      <c r="L103" s="18"/>
      <c r="M103" s="21"/>
    </row>
    <row r="104" spans="1:51" ht="20.100000000000001" customHeight="1" x14ac:dyDescent="0.3">
      <c r="A104" s="23"/>
      <c r="B104" s="23"/>
      <c r="C104" s="21"/>
      <c r="D104" s="18"/>
      <c r="E104" s="18"/>
      <c r="F104" s="18"/>
      <c r="G104" s="18"/>
      <c r="H104" s="18"/>
      <c r="I104" s="18"/>
      <c r="J104" s="18"/>
      <c r="K104" s="18"/>
      <c r="L104" s="18"/>
      <c r="M104" s="21"/>
    </row>
    <row r="105" spans="1:51" ht="20.100000000000001" customHeight="1" x14ac:dyDescent="0.3">
      <c r="A105" s="23"/>
      <c r="B105" s="23"/>
      <c r="C105" s="21"/>
      <c r="D105" s="18"/>
      <c r="E105" s="18"/>
      <c r="F105" s="18"/>
      <c r="G105" s="18"/>
      <c r="H105" s="18"/>
      <c r="I105" s="18"/>
      <c r="J105" s="18"/>
      <c r="K105" s="18"/>
      <c r="L105" s="18"/>
      <c r="M105" s="21"/>
    </row>
    <row r="106" spans="1:51" ht="20.100000000000001" customHeight="1" x14ac:dyDescent="0.3">
      <c r="A106" s="23"/>
      <c r="B106" s="23"/>
      <c r="C106" s="21"/>
      <c r="D106" s="18"/>
      <c r="E106" s="18"/>
      <c r="F106" s="18"/>
      <c r="G106" s="18"/>
      <c r="H106" s="18"/>
      <c r="I106" s="18"/>
      <c r="J106" s="18"/>
      <c r="K106" s="18"/>
      <c r="L106" s="18"/>
      <c r="M106" s="21"/>
    </row>
    <row r="107" spans="1:51" ht="20.100000000000001" customHeight="1" x14ac:dyDescent="0.3">
      <c r="A107" s="23"/>
      <c r="B107" s="23"/>
      <c r="C107" s="21"/>
      <c r="D107" s="18"/>
      <c r="E107" s="18"/>
      <c r="F107" s="18"/>
      <c r="G107" s="18"/>
      <c r="H107" s="18"/>
      <c r="I107" s="18"/>
      <c r="J107" s="18"/>
      <c r="K107" s="18"/>
      <c r="L107" s="18"/>
      <c r="M107" s="21"/>
    </row>
    <row r="108" spans="1:51" ht="20.100000000000001" customHeight="1" x14ac:dyDescent="0.3">
      <c r="A108" s="23"/>
      <c r="B108" s="23"/>
      <c r="C108" s="21"/>
      <c r="D108" s="18"/>
      <c r="E108" s="18"/>
      <c r="F108" s="18"/>
      <c r="G108" s="18"/>
      <c r="H108" s="18"/>
      <c r="I108" s="18"/>
      <c r="J108" s="18"/>
      <c r="K108" s="18"/>
      <c r="L108" s="18"/>
      <c r="M108" s="21"/>
    </row>
    <row r="109" spans="1:51" ht="20.100000000000001" customHeight="1" x14ac:dyDescent="0.3">
      <c r="A109" s="23"/>
      <c r="B109" s="23"/>
      <c r="C109" s="21"/>
      <c r="D109" s="18"/>
      <c r="E109" s="18"/>
      <c r="F109" s="18"/>
      <c r="G109" s="18"/>
      <c r="H109" s="18"/>
      <c r="I109" s="18"/>
      <c r="J109" s="18"/>
      <c r="K109" s="18"/>
      <c r="L109" s="18"/>
      <c r="M109" s="21"/>
    </row>
    <row r="110" spans="1:51" ht="20.100000000000001" customHeight="1" x14ac:dyDescent="0.3">
      <c r="A110" s="23"/>
      <c r="B110" s="23"/>
      <c r="C110" s="21"/>
      <c r="D110" s="18"/>
      <c r="E110" s="18"/>
      <c r="F110" s="18"/>
      <c r="G110" s="18"/>
      <c r="H110" s="18"/>
      <c r="I110" s="18"/>
      <c r="J110" s="18"/>
      <c r="K110" s="18"/>
      <c r="L110" s="18"/>
      <c r="M110" s="21"/>
    </row>
    <row r="111" spans="1:51" ht="20.100000000000001" customHeight="1" x14ac:dyDescent="0.3">
      <c r="A111" s="23"/>
      <c r="B111" s="23"/>
      <c r="C111" s="21"/>
      <c r="D111" s="18"/>
      <c r="E111" s="18"/>
      <c r="F111" s="18"/>
      <c r="G111" s="18"/>
      <c r="H111" s="18"/>
      <c r="I111" s="18"/>
      <c r="J111" s="18"/>
      <c r="K111" s="18"/>
      <c r="L111" s="18"/>
      <c r="M111" s="21"/>
    </row>
    <row r="112" spans="1:51" ht="20.100000000000001" customHeight="1" x14ac:dyDescent="0.3">
      <c r="A112" s="23"/>
      <c r="B112" s="23"/>
      <c r="C112" s="21"/>
      <c r="D112" s="18"/>
      <c r="E112" s="18"/>
      <c r="F112" s="18"/>
      <c r="G112" s="18"/>
      <c r="H112" s="18"/>
      <c r="I112" s="18"/>
      <c r="J112" s="18"/>
      <c r="K112" s="18"/>
      <c r="L112" s="18"/>
      <c r="M112" s="21"/>
    </row>
    <row r="113" spans="1:51" ht="20.100000000000001" customHeight="1" x14ac:dyDescent="0.3">
      <c r="A113" s="23"/>
      <c r="B113" s="23"/>
      <c r="C113" s="21"/>
      <c r="D113" s="18"/>
      <c r="E113" s="18"/>
      <c r="F113" s="18"/>
      <c r="G113" s="18"/>
      <c r="H113" s="18"/>
      <c r="I113" s="18"/>
      <c r="J113" s="18"/>
      <c r="K113" s="18"/>
      <c r="L113" s="18"/>
      <c r="M113" s="21"/>
    </row>
    <row r="114" spans="1:51" ht="20.100000000000001" customHeight="1" x14ac:dyDescent="0.3">
      <c r="A114" s="20" t="s">
        <v>68</v>
      </c>
      <c r="B114" s="6"/>
      <c r="C114" s="17"/>
      <c r="D114" s="4"/>
      <c r="E114" s="18"/>
      <c r="F114" s="4">
        <f>ROUNDDOWN(SUMIF(Q94:Q113, "1", F94:F113), 0)</f>
        <v>0</v>
      </c>
      <c r="G114" s="18"/>
      <c r="H114" s="4">
        <f>ROUNDDOWN(SUMIF(Q94:Q113, "1", H94:H113), 0)</f>
        <v>0</v>
      </c>
      <c r="I114" s="18"/>
      <c r="J114" s="4">
        <f>ROUNDDOWN(SUMIF(Q94:Q113, "1", J94:J113), 0)</f>
        <v>0</v>
      </c>
      <c r="K114" s="18"/>
      <c r="L114" s="4">
        <f>F114+H114+J114</f>
        <v>0</v>
      </c>
      <c r="M114" s="17"/>
      <c r="R114">
        <f t="shared" ref="R114:AY114" si="94">ROUNDDOWN(SUM(R94:R97), 0)</f>
        <v>0</v>
      </c>
      <c r="S114">
        <f t="shared" si="94"/>
        <v>0</v>
      </c>
      <c r="T114">
        <f t="shared" si="94"/>
        <v>0</v>
      </c>
      <c r="U114">
        <f t="shared" si="94"/>
        <v>0</v>
      </c>
      <c r="V114">
        <f t="shared" si="94"/>
        <v>0</v>
      </c>
      <c r="W114">
        <f t="shared" si="94"/>
        <v>0</v>
      </c>
      <c r="X114">
        <f t="shared" si="94"/>
        <v>0</v>
      </c>
      <c r="Y114">
        <f t="shared" si="94"/>
        <v>0</v>
      </c>
      <c r="Z114">
        <f t="shared" si="94"/>
        <v>0</v>
      </c>
      <c r="AA114">
        <f t="shared" si="94"/>
        <v>0</v>
      </c>
      <c r="AB114">
        <f t="shared" si="94"/>
        <v>0</v>
      </c>
      <c r="AC114">
        <f t="shared" si="94"/>
        <v>0</v>
      </c>
      <c r="AD114">
        <f t="shared" si="94"/>
        <v>0</v>
      </c>
      <c r="AE114">
        <f t="shared" si="94"/>
        <v>0</v>
      </c>
      <c r="AF114">
        <f t="shared" si="94"/>
        <v>0</v>
      </c>
      <c r="AG114">
        <f t="shared" si="94"/>
        <v>0</v>
      </c>
      <c r="AH114">
        <f t="shared" si="94"/>
        <v>0</v>
      </c>
      <c r="AI114">
        <f t="shared" si="94"/>
        <v>0</v>
      </c>
      <c r="AJ114">
        <f t="shared" si="94"/>
        <v>0</v>
      </c>
      <c r="AK114">
        <f t="shared" si="94"/>
        <v>0</v>
      </c>
      <c r="AL114">
        <f t="shared" si="94"/>
        <v>0</v>
      </c>
      <c r="AM114">
        <f t="shared" si="94"/>
        <v>0</v>
      </c>
      <c r="AN114">
        <f t="shared" si="94"/>
        <v>0</v>
      </c>
      <c r="AO114">
        <f t="shared" si="94"/>
        <v>0</v>
      </c>
      <c r="AP114">
        <f t="shared" si="94"/>
        <v>0</v>
      </c>
      <c r="AQ114">
        <f t="shared" si="94"/>
        <v>0</v>
      </c>
      <c r="AR114">
        <f t="shared" si="94"/>
        <v>0</v>
      </c>
      <c r="AS114">
        <f t="shared" si="94"/>
        <v>0</v>
      </c>
      <c r="AT114">
        <f t="shared" si="94"/>
        <v>0</v>
      </c>
      <c r="AU114">
        <f t="shared" si="94"/>
        <v>0</v>
      </c>
      <c r="AV114">
        <f t="shared" si="94"/>
        <v>0</v>
      </c>
      <c r="AW114">
        <f t="shared" si="94"/>
        <v>0</v>
      </c>
      <c r="AX114">
        <f t="shared" si="94"/>
        <v>0</v>
      </c>
      <c r="AY114">
        <f t="shared" si="94"/>
        <v>0</v>
      </c>
    </row>
    <row r="115" spans="1:51" ht="20.100000000000001" customHeight="1" x14ac:dyDescent="0.3">
      <c r="A115" s="67" t="s">
        <v>247</v>
      </c>
      <c r="B115" s="68"/>
      <c r="C115" s="68"/>
      <c r="D115" s="69"/>
      <c r="E115" s="69"/>
      <c r="F115" s="69"/>
      <c r="G115" s="69"/>
      <c r="H115" s="69"/>
      <c r="I115" s="69"/>
      <c r="J115" s="69"/>
      <c r="K115" s="69"/>
      <c r="L115" s="69"/>
      <c r="M115" s="68"/>
    </row>
    <row r="116" spans="1:51" ht="20.100000000000001" customHeight="1" x14ac:dyDescent="0.3">
      <c r="A116" s="25" t="s">
        <v>197</v>
      </c>
      <c r="B116" s="25" t="s">
        <v>202</v>
      </c>
      <c r="C116" s="24" t="s">
        <v>170</v>
      </c>
      <c r="D116" s="18">
        <v>2.8</v>
      </c>
      <c r="E116" s="18"/>
      <c r="F116" s="18"/>
      <c r="G116" s="18"/>
      <c r="H116" s="18"/>
      <c r="I116" s="18"/>
      <c r="J116" s="18"/>
      <c r="K116" s="18"/>
      <c r="L116" s="18"/>
      <c r="M116" s="24" t="s">
        <v>201</v>
      </c>
      <c r="O116" t="str">
        <f>""</f>
        <v/>
      </c>
      <c r="P116" s="5" t="s">
        <v>117</v>
      </c>
      <c r="Q116">
        <v>1</v>
      </c>
      <c r="R116">
        <f t="shared" ref="R116:R138" si="95">IF(P116="기계경비", J116, 0)</f>
        <v>0</v>
      </c>
      <c r="S116">
        <f t="shared" ref="S116:S138" si="96">IF(P116="운반비", L116, 0)</f>
        <v>0</v>
      </c>
      <c r="T116">
        <f t="shared" ref="T116:T138" si="97">IF(P116="작업부산물", F116, 0)</f>
        <v>0</v>
      </c>
      <c r="U116">
        <f t="shared" ref="U116:U138" si="98">IF(P116="관급", F116, 0)</f>
        <v>0</v>
      </c>
      <c r="V116">
        <f t="shared" ref="V116:V138" si="99">IF(P116="외주비", J116, 0)</f>
        <v>0</v>
      </c>
      <c r="W116">
        <f t="shared" ref="W116:W138" si="100">IF(P116="장비비", J116, 0)</f>
        <v>0</v>
      </c>
      <c r="X116">
        <f t="shared" ref="X116:X138" si="101">IF(P116="폐기물처리비", L116, 0)</f>
        <v>0</v>
      </c>
      <c r="Y116">
        <f t="shared" ref="Y116:Y138" si="102">IF(P116="가설비", J116, 0)</f>
        <v>0</v>
      </c>
      <c r="Z116">
        <f t="shared" ref="Z116:Z138" si="103">IF(P116="잡비제외분", F116, 0)</f>
        <v>0</v>
      </c>
      <c r="AA116">
        <f t="shared" ref="AA116:AA138" si="104">IF(P116="사급자재대", L116, 0)</f>
        <v>0</v>
      </c>
      <c r="AB116">
        <f t="shared" ref="AB116:AB138" si="105">IF(P116="관급자재대", L116, 0)</f>
        <v>0</v>
      </c>
      <c r="AC116">
        <f t="shared" ref="AC116:AC138" si="106">IF(P116="관급자관급", L116, 0)</f>
        <v>0</v>
      </c>
      <c r="AD116">
        <f t="shared" ref="AD116:AD138" si="107">IF(P116="품질시험비", L116, 0)</f>
        <v>0</v>
      </c>
      <c r="AE116">
        <f t="shared" ref="AE116:AE138" si="108">IF(P116="수도광열비", L116, 0)</f>
        <v>0</v>
      </c>
      <c r="AF116">
        <f t="shared" ref="AF116:AF138" si="109">IF(P116="공기중석면농도측정비", L116, 0)</f>
        <v>0</v>
      </c>
      <c r="AG116">
        <f t="shared" ref="AG116:AG138" si="110">IF(P116="사용자항목5", L116, 0)</f>
        <v>0</v>
      </c>
      <c r="AH116">
        <f t="shared" ref="AH116:AH138" si="111">IF(P116="사용자항목6", L116, 0)</f>
        <v>0</v>
      </c>
      <c r="AI116">
        <f t="shared" ref="AI116:AI138" si="112">IF(P116="사용자항목7", L116, 0)</f>
        <v>0</v>
      </c>
      <c r="AJ116">
        <f t="shared" ref="AJ116:AJ138" si="113">IF(P116="관급자재대2", L116, 0)</f>
        <v>0</v>
      </c>
      <c r="AK116">
        <f t="shared" ref="AK116:AK138" si="114">IF(P116="작업부산물", L116, 0)</f>
        <v>0</v>
      </c>
      <c r="AL116">
        <f t="shared" ref="AL116:AL138" si="115">IF(P116="해체계획비및검토비", L116, 0)</f>
        <v>0</v>
      </c>
      <c r="AM116">
        <f t="shared" ref="AM116:AM138" si="116">IF(P116="사용자항목11", L116, 0)</f>
        <v>0</v>
      </c>
      <c r="AN116">
        <f t="shared" ref="AN116:AN138" si="117">IF(P116="사용자항목12", L116, 0)</f>
        <v>0</v>
      </c>
      <c r="AO116">
        <f t="shared" ref="AO116:AO138" si="118">IF(P116="사용자항목13", L116, 0)</f>
        <v>0</v>
      </c>
      <c r="AP116">
        <f t="shared" ref="AP116:AP138" si="119">IF(P116="사용자항목14", L116, 0)</f>
        <v>0</v>
      </c>
      <c r="AQ116">
        <f t="shared" ref="AQ116:AQ138" si="120">IF(P116="사용자항목15", L116, 0)</f>
        <v>0</v>
      </c>
      <c r="AR116">
        <f t="shared" ref="AR116:AR138" si="121">IF(P116="사용자항목16", L116, 0)</f>
        <v>0</v>
      </c>
      <c r="AS116">
        <f t="shared" ref="AS116:AS138" si="122">IF(P116="사용자항목17", L116, 0)</f>
        <v>0</v>
      </c>
      <c r="AT116">
        <f t="shared" ref="AT116:AT138" si="123">IF(P116="사용자항목18", L116, 0)</f>
        <v>0</v>
      </c>
      <c r="AU116">
        <f t="shared" ref="AU116:AU138" si="124">IF(P116="사용자항목19", L116, 0)</f>
        <v>0</v>
      </c>
    </row>
    <row r="117" spans="1:51" ht="20.100000000000001" customHeight="1" x14ac:dyDescent="0.3">
      <c r="A117" s="25" t="s">
        <v>200</v>
      </c>
      <c r="B117" s="25" t="s">
        <v>199</v>
      </c>
      <c r="C117" s="24" t="s">
        <v>170</v>
      </c>
      <c r="D117" s="18">
        <v>142.69999999999999</v>
      </c>
      <c r="E117" s="18"/>
      <c r="F117" s="18"/>
      <c r="G117" s="18"/>
      <c r="H117" s="18"/>
      <c r="I117" s="18"/>
      <c r="J117" s="18"/>
      <c r="K117" s="18"/>
      <c r="L117" s="18"/>
      <c r="M117" s="24" t="s">
        <v>198</v>
      </c>
      <c r="O117" t="str">
        <f>""</f>
        <v/>
      </c>
      <c r="P117" s="5" t="s">
        <v>117</v>
      </c>
      <c r="Q117">
        <v>1</v>
      </c>
      <c r="R117">
        <f t="shared" si="95"/>
        <v>0</v>
      </c>
      <c r="S117">
        <f t="shared" si="96"/>
        <v>0</v>
      </c>
      <c r="T117">
        <f t="shared" si="97"/>
        <v>0</v>
      </c>
      <c r="U117">
        <f t="shared" si="98"/>
        <v>0</v>
      </c>
      <c r="V117">
        <f t="shared" si="99"/>
        <v>0</v>
      </c>
      <c r="W117">
        <f t="shared" si="100"/>
        <v>0</v>
      </c>
      <c r="X117">
        <f t="shared" si="101"/>
        <v>0</v>
      </c>
      <c r="Y117">
        <f t="shared" si="102"/>
        <v>0</v>
      </c>
      <c r="Z117">
        <f t="shared" si="103"/>
        <v>0</v>
      </c>
      <c r="AA117">
        <f t="shared" si="104"/>
        <v>0</v>
      </c>
      <c r="AB117">
        <f t="shared" si="105"/>
        <v>0</v>
      </c>
      <c r="AC117">
        <f t="shared" si="106"/>
        <v>0</v>
      </c>
      <c r="AD117">
        <f t="shared" si="107"/>
        <v>0</v>
      </c>
      <c r="AE117">
        <f t="shared" si="108"/>
        <v>0</v>
      </c>
      <c r="AF117">
        <f t="shared" si="109"/>
        <v>0</v>
      </c>
      <c r="AG117">
        <f t="shared" si="110"/>
        <v>0</v>
      </c>
      <c r="AH117">
        <f t="shared" si="111"/>
        <v>0</v>
      </c>
      <c r="AI117">
        <f t="shared" si="112"/>
        <v>0</v>
      </c>
      <c r="AJ117">
        <f t="shared" si="113"/>
        <v>0</v>
      </c>
      <c r="AK117">
        <f t="shared" si="114"/>
        <v>0</v>
      </c>
      <c r="AL117">
        <f t="shared" si="115"/>
        <v>0</v>
      </c>
      <c r="AM117">
        <f t="shared" si="116"/>
        <v>0</v>
      </c>
      <c r="AN117">
        <f t="shared" si="117"/>
        <v>0</v>
      </c>
      <c r="AO117">
        <f t="shared" si="118"/>
        <v>0</v>
      </c>
      <c r="AP117">
        <f t="shared" si="119"/>
        <v>0</v>
      </c>
      <c r="AQ117">
        <f t="shared" si="120"/>
        <v>0</v>
      </c>
      <c r="AR117">
        <f t="shared" si="121"/>
        <v>0</v>
      </c>
      <c r="AS117">
        <f t="shared" si="122"/>
        <v>0</v>
      </c>
      <c r="AT117">
        <f t="shared" si="123"/>
        <v>0</v>
      </c>
      <c r="AU117">
        <f t="shared" si="124"/>
        <v>0</v>
      </c>
    </row>
    <row r="118" spans="1:51" ht="20.100000000000001" customHeight="1" x14ac:dyDescent="0.3">
      <c r="A118" s="25" t="s">
        <v>197</v>
      </c>
      <c r="B118" s="25" t="s">
        <v>196</v>
      </c>
      <c r="C118" s="24" t="s">
        <v>170</v>
      </c>
      <c r="D118" s="18">
        <v>3.9</v>
      </c>
      <c r="E118" s="18"/>
      <c r="F118" s="18"/>
      <c r="G118" s="18"/>
      <c r="H118" s="18"/>
      <c r="I118" s="18"/>
      <c r="J118" s="18"/>
      <c r="K118" s="18"/>
      <c r="L118" s="18"/>
      <c r="M118" s="24" t="s">
        <v>195</v>
      </c>
      <c r="O118" t="str">
        <f>""</f>
        <v/>
      </c>
      <c r="P118" s="5" t="s">
        <v>117</v>
      </c>
      <c r="Q118">
        <v>1</v>
      </c>
      <c r="R118">
        <f t="shared" si="95"/>
        <v>0</v>
      </c>
      <c r="S118">
        <f t="shared" si="96"/>
        <v>0</v>
      </c>
      <c r="T118">
        <f t="shared" si="97"/>
        <v>0</v>
      </c>
      <c r="U118">
        <f t="shared" si="98"/>
        <v>0</v>
      </c>
      <c r="V118">
        <f t="shared" si="99"/>
        <v>0</v>
      </c>
      <c r="W118">
        <f t="shared" si="100"/>
        <v>0</v>
      </c>
      <c r="X118">
        <f t="shared" si="101"/>
        <v>0</v>
      </c>
      <c r="Y118">
        <f t="shared" si="102"/>
        <v>0</v>
      </c>
      <c r="Z118">
        <f t="shared" si="103"/>
        <v>0</v>
      </c>
      <c r="AA118">
        <f t="shared" si="104"/>
        <v>0</v>
      </c>
      <c r="AB118">
        <f t="shared" si="105"/>
        <v>0</v>
      </c>
      <c r="AC118">
        <f t="shared" si="106"/>
        <v>0</v>
      </c>
      <c r="AD118">
        <f t="shared" si="107"/>
        <v>0</v>
      </c>
      <c r="AE118">
        <f t="shared" si="108"/>
        <v>0</v>
      </c>
      <c r="AF118">
        <f t="shared" si="109"/>
        <v>0</v>
      </c>
      <c r="AG118">
        <f t="shared" si="110"/>
        <v>0</v>
      </c>
      <c r="AH118">
        <f t="shared" si="111"/>
        <v>0</v>
      </c>
      <c r="AI118">
        <f t="shared" si="112"/>
        <v>0</v>
      </c>
      <c r="AJ118">
        <f t="shared" si="113"/>
        <v>0</v>
      </c>
      <c r="AK118">
        <f t="shared" si="114"/>
        <v>0</v>
      </c>
      <c r="AL118">
        <f t="shared" si="115"/>
        <v>0</v>
      </c>
      <c r="AM118">
        <f t="shared" si="116"/>
        <v>0</v>
      </c>
      <c r="AN118">
        <f t="shared" si="117"/>
        <v>0</v>
      </c>
      <c r="AO118">
        <f t="shared" si="118"/>
        <v>0</v>
      </c>
      <c r="AP118">
        <f t="shared" si="119"/>
        <v>0</v>
      </c>
      <c r="AQ118">
        <f t="shared" si="120"/>
        <v>0</v>
      </c>
      <c r="AR118">
        <f t="shared" si="121"/>
        <v>0</v>
      </c>
      <c r="AS118">
        <f t="shared" si="122"/>
        <v>0</v>
      </c>
      <c r="AT118">
        <f t="shared" si="123"/>
        <v>0</v>
      </c>
      <c r="AU118">
        <f t="shared" si="124"/>
        <v>0</v>
      </c>
    </row>
    <row r="119" spans="1:51" ht="20.100000000000001" customHeight="1" x14ac:dyDescent="0.3">
      <c r="A119" s="25" t="s">
        <v>181</v>
      </c>
      <c r="B119" s="25" t="s">
        <v>180</v>
      </c>
      <c r="C119" s="24" t="s">
        <v>170</v>
      </c>
      <c r="D119" s="18">
        <v>20</v>
      </c>
      <c r="E119" s="18"/>
      <c r="F119" s="18"/>
      <c r="G119" s="18"/>
      <c r="H119" s="18"/>
      <c r="I119" s="18"/>
      <c r="J119" s="18"/>
      <c r="K119" s="18"/>
      <c r="L119" s="18"/>
      <c r="M119" s="24" t="s">
        <v>179</v>
      </c>
      <c r="O119" t="str">
        <f>""</f>
        <v/>
      </c>
      <c r="P119" s="5" t="s">
        <v>117</v>
      </c>
      <c r="Q119">
        <v>1</v>
      </c>
      <c r="R119">
        <f t="shared" si="95"/>
        <v>0</v>
      </c>
      <c r="S119">
        <f t="shared" si="96"/>
        <v>0</v>
      </c>
      <c r="T119">
        <f t="shared" si="97"/>
        <v>0</v>
      </c>
      <c r="U119">
        <f t="shared" si="98"/>
        <v>0</v>
      </c>
      <c r="V119">
        <f t="shared" si="99"/>
        <v>0</v>
      </c>
      <c r="W119">
        <f t="shared" si="100"/>
        <v>0</v>
      </c>
      <c r="X119">
        <f t="shared" si="101"/>
        <v>0</v>
      </c>
      <c r="Y119">
        <f t="shared" si="102"/>
        <v>0</v>
      </c>
      <c r="Z119">
        <f t="shared" si="103"/>
        <v>0</v>
      </c>
      <c r="AA119">
        <f t="shared" si="104"/>
        <v>0</v>
      </c>
      <c r="AB119">
        <f t="shared" si="105"/>
        <v>0</v>
      </c>
      <c r="AC119">
        <f t="shared" si="106"/>
        <v>0</v>
      </c>
      <c r="AD119">
        <f t="shared" si="107"/>
        <v>0</v>
      </c>
      <c r="AE119">
        <f t="shared" si="108"/>
        <v>0</v>
      </c>
      <c r="AF119">
        <f t="shared" si="109"/>
        <v>0</v>
      </c>
      <c r="AG119">
        <f t="shared" si="110"/>
        <v>0</v>
      </c>
      <c r="AH119">
        <f t="shared" si="111"/>
        <v>0</v>
      </c>
      <c r="AI119">
        <f t="shared" si="112"/>
        <v>0</v>
      </c>
      <c r="AJ119">
        <f t="shared" si="113"/>
        <v>0</v>
      </c>
      <c r="AK119">
        <f t="shared" si="114"/>
        <v>0</v>
      </c>
      <c r="AL119">
        <f t="shared" si="115"/>
        <v>0</v>
      </c>
      <c r="AM119">
        <f t="shared" si="116"/>
        <v>0</v>
      </c>
      <c r="AN119">
        <f t="shared" si="117"/>
        <v>0</v>
      </c>
      <c r="AO119">
        <f t="shared" si="118"/>
        <v>0</v>
      </c>
      <c r="AP119">
        <f t="shared" si="119"/>
        <v>0</v>
      </c>
      <c r="AQ119">
        <f t="shared" si="120"/>
        <v>0</v>
      </c>
      <c r="AR119">
        <f t="shared" si="121"/>
        <v>0</v>
      </c>
      <c r="AS119">
        <f t="shared" si="122"/>
        <v>0</v>
      </c>
      <c r="AT119">
        <f t="shared" si="123"/>
        <v>0</v>
      </c>
      <c r="AU119">
        <f t="shared" si="124"/>
        <v>0</v>
      </c>
      <c r="AY119" s="5" t="s">
        <v>178</v>
      </c>
    </row>
    <row r="120" spans="1:51" ht="20.100000000000001" customHeight="1" x14ac:dyDescent="0.3">
      <c r="A120" s="25" t="s">
        <v>181</v>
      </c>
      <c r="B120" s="25" t="s">
        <v>246</v>
      </c>
      <c r="C120" s="24" t="s">
        <v>170</v>
      </c>
      <c r="D120" s="18">
        <v>142.69999999999999</v>
      </c>
      <c r="E120" s="18"/>
      <c r="F120" s="18"/>
      <c r="G120" s="18"/>
      <c r="H120" s="18"/>
      <c r="I120" s="18"/>
      <c r="J120" s="18"/>
      <c r="K120" s="18"/>
      <c r="L120" s="18"/>
      <c r="M120" s="24" t="s">
        <v>245</v>
      </c>
      <c r="O120" t="str">
        <f>""</f>
        <v/>
      </c>
      <c r="P120" s="5" t="s">
        <v>117</v>
      </c>
      <c r="Q120">
        <v>1</v>
      </c>
      <c r="R120">
        <f t="shared" si="95"/>
        <v>0</v>
      </c>
      <c r="S120">
        <f t="shared" si="96"/>
        <v>0</v>
      </c>
      <c r="T120">
        <f t="shared" si="97"/>
        <v>0</v>
      </c>
      <c r="U120">
        <f t="shared" si="98"/>
        <v>0</v>
      </c>
      <c r="V120">
        <f t="shared" si="99"/>
        <v>0</v>
      </c>
      <c r="W120">
        <f t="shared" si="100"/>
        <v>0</v>
      </c>
      <c r="X120">
        <f t="shared" si="101"/>
        <v>0</v>
      </c>
      <c r="Y120">
        <f t="shared" si="102"/>
        <v>0</v>
      </c>
      <c r="Z120">
        <f t="shared" si="103"/>
        <v>0</v>
      </c>
      <c r="AA120">
        <f t="shared" si="104"/>
        <v>0</v>
      </c>
      <c r="AB120">
        <f t="shared" si="105"/>
        <v>0</v>
      </c>
      <c r="AC120">
        <f t="shared" si="106"/>
        <v>0</v>
      </c>
      <c r="AD120">
        <f t="shared" si="107"/>
        <v>0</v>
      </c>
      <c r="AE120">
        <f t="shared" si="108"/>
        <v>0</v>
      </c>
      <c r="AF120">
        <f t="shared" si="109"/>
        <v>0</v>
      </c>
      <c r="AG120">
        <f t="shared" si="110"/>
        <v>0</v>
      </c>
      <c r="AH120">
        <f t="shared" si="111"/>
        <v>0</v>
      </c>
      <c r="AI120">
        <f t="shared" si="112"/>
        <v>0</v>
      </c>
      <c r="AJ120">
        <f t="shared" si="113"/>
        <v>0</v>
      </c>
      <c r="AK120">
        <f t="shared" si="114"/>
        <v>0</v>
      </c>
      <c r="AL120">
        <f t="shared" si="115"/>
        <v>0</v>
      </c>
      <c r="AM120">
        <f t="shared" si="116"/>
        <v>0</v>
      </c>
      <c r="AN120">
        <f t="shared" si="117"/>
        <v>0</v>
      </c>
      <c r="AO120">
        <f t="shared" si="118"/>
        <v>0</v>
      </c>
      <c r="AP120">
        <f t="shared" si="119"/>
        <v>0</v>
      </c>
      <c r="AQ120">
        <f t="shared" si="120"/>
        <v>0</v>
      </c>
      <c r="AR120">
        <f t="shared" si="121"/>
        <v>0</v>
      </c>
      <c r="AS120">
        <f t="shared" si="122"/>
        <v>0</v>
      </c>
      <c r="AT120">
        <f t="shared" si="123"/>
        <v>0</v>
      </c>
      <c r="AU120">
        <f t="shared" si="124"/>
        <v>0</v>
      </c>
      <c r="AY120" s="5" t="s">
        <v>178</v>
      </c>
    </row>
    <row r="121" spans="1:51" ht="20.100000000000001" customHeight="1" x14ac:dyDescent="0.3">
      <c r="A121" s="25" t="s">
        <v>194</v>
      </c>
      <c r="B121" s="25" t="s">
        <v>193</v>
      </c>
      <c r="C121" s="24" t="s">
        <v>170</v>
      </c>
      <c r="D121" s="18">
        <v>142.69999999999999</v>
      </c>
      <c r="E121" s="18"/>
      <c r="F121" s="18"/>
      <c r="G121" s="18"/>
      <c r="H121" s="18"/>
      <c r="I121" s="18"/>
      <c r="J121" s="18"/>
      <c r="K121" s="18"/>
      <c r="L121" s="18"/>
      <c r="M121" s="24" t="s">
        <v>192</v>
      </c>
      <c r="O121" t="str">
        <f>""</f>
        <v/>
      </c>
      <c r="P121" s="5" t="s">
        <v>117</v>
      </c>
      <c r="Q121">
        <v>1</v>
      </c>
      <c r="R121">
        <f t="shared" si="95"/>
        <v>0</v>
      </c>
      <c r="S121">
        <f t="shared" si="96"/>
        <v>0</v>
      </c>
      <c r="T121">
        <f t="shared" si="97"/>
        <v>0</v>
      </c>
      <c r="U121">
        <f t="shared" si="98"/>
        <v>0</v>
      </c>
      <c r="V121">
        <f t="shared" si="99"/>
        <v>0</v>
      </c>
      <c r="W121">
        <f t="shared" si="100"/>
        <v>0</v>
      </c>
      <c r="X121">
        <f t="shared" si="101"/>
        <v>0</v>
      </c>
      <c r="Y121">
        <f t="shared" si="102"/>
        <v>0</v>
      </c>
      <c r="Z121">
        <f t="shared" si="103"/>
        <v>0</v>
      </c>
      <c r="AA121">
        <f t="shared" si="104"/>
        <v>0</v>
      </c>
      <c r="AB121">
        <f t="shared" si="105"/>
        <v>0</v>
      </c>
      <c r="AC121">
        <f t="shared" si="106"/>
        <v>0</v>
      </c>
      <c r="AD121">
        <f t="shared" si="107"/>
        <v>0</v>
      </c>
      <c r="AE121">
        <f t="shared" si="108"/>
        <v>0</v>
      </c>
      <c r="AF121">
        <f t="shared" si="109"/>
        <v>0</v>
      </c>
      <c r="AG121">
        <f t="shared" si="110"/>
        <v>0</v>
      </c>
      <c r="AH121">
        <f t="shared" si="111"/>
        <v>0</v>
      </c>
      <c r="AI121">
        <f t="shared" si="112"/>
        <v>0</v>
      </c>
      <c r="AJ121">
        <f t="shared" si="113"/>
        <v>0</v>
      </c>
      <c r="AK121">
        <f t="shared" si="114"/>
        <v>0</v>
      </c>
      <c r="AL121">
        <f t="shared" si="115"/>
        <v>0</v>
      </c>
      <c r="AM121">
        <f t="shared" si="116"/>
        <v>0</v>
      </c>
      <c r="AN121">
        <f t="shared" si="117"/>
        <v>0</v>
      </c>
      <c r="AO121">
        <f t="shared" si="118"/>
        <v>0</v>
      </c>
      <c r="AP121">
        <f t="shared" si="119"/>
        <v>0</v>
      </c>
      <c r="AQ121">
        <f t="shared" si="120"/>
        <v>0</v>
      </c>
      <c r="AR121">
        <f t="shared" si="121"/>
        <v>0</v>
      </c>
      <c r="AS121">
        <f t="shared" si="122"/>
        <v>0</v>
      </c>
      <c r="AT121">
        <f t="shared" si="123"/>
        <v>0</v>
      </c>
      <c r="AU121">
        <f t="shared" si="124"/>
        <v>0</v>
      </c>
    </row>
    <row r="122" spans="1:51" ht="20.100000000000001" customHeight="1" x14ac:dyDescent="0.3">
      <c r="A122" s="25" t="s">
        <v>227</v>
      </c>
      <c r="B122" s="25" t="s">
        <v>244</v>
      </c>
      <c r="C122" s="24" t="s">
        <v>186</v>
      </c>
      <c r="D122" s="18">
        <v>51.4</v>
      </c>
      <c r="E122" s="18"/>
      <c r="F122" s="18"/>
      <c r="G122" s="18"/>
      <c r="H122" s="18"/>
      <c r="I122" s="18"/>
      <c r="J122" s="18"/>
      <c r="K122" s="18"/>
      <c r="L122" s="18"/>
      <c r="M122" s="24" t="s">
        <v>243</v>
      </c>
      <c r="O122" t="str">
        <f>""</f>
        <v/>
      </c>
      <c r="P122" s="5" t="s">
        <v>117</v>
      </c>
      <c r="Q122">
        <v>1</v>
      </c>
      <c r="R122">
        <f t="shared" si="95"/>
        <v>0</v>
      </c>
      <c r="S122">
        <f t="shared" si="96"/>
        <v>0</v>
      </c>
      <c r="T122">
        <f t="shared" si="97"/>
        <v>0</v>
      </c>
      <c r="U122">
        <f t="shared" si="98"/>
        <v>0</v>
      </c>
      <c r="V122">
        <f t="shared" si="99"/>
        <v>0</v>
      </c>
      <c r="W122">
        <f t="shared" si="100"/>
        <v>0</v>
      </c>
      <c r="X122">
        <f t="shared" si="101"/>
        <v>0</v>
      </c>
      <c r="Y122">
        <f t="shared" si="102"/>
        <v>0</v>
      </c>
      <c r="Z122">
        <f t="shared" si="103"/>
        <v>0</v>
      </c>
      <c r="AA122">
        <f t="shared" si="104"/>
        <v>0</v>
      </c>
      <c r="AB122">
        <f t="shared" si="105"/>
        <v>0</v>
      </c>
      <c r="AC122">
        <f t="shared" si="106"/>
        <v>0</v>
      </c>
      <c r="AD122">
        <f t="shared" si="107"/>
        <v>0</v>
      </c>
      <c r="AE122">
        <f t="shared" si="108"/>
        <v>0</v>
      </c>
      <c r="AF122">
        <f t="shared" si="109"/>
        <v>0</v>
      </c>
      <c r="AG122">
        <f t="shared" si="110"/>
        <v>0</v>
      </c>
      <c r="AH122">
        <f t="shared" si="111"/>
        <v>0</v>
      </c>
      <c r="AI122">
        <f t="shared" si="112"/>
        <v>0</v>
      </c>
      <c r="AJ122">
        <f t="shared" si="113"/>
        <v>0</v>
      </c>
      <c r="AK122">
        <f t="shared" si="114"/>
        <v>0</v>
      </c>
      <c r="AL122">
        <f t="shared" si="115"/>
        <v>0</v>
      </c>
      <c r="AM122">
        <f t="shared" si="116"/>
        <v>0</v>
      </c>
      <c r="AN122">
        <f t="shared" si="117"/>
        <v>0</v>
      </c>
      <c r="AO122">
        <f t="shared" si="118"/>
        <v>0</v>
      </c>
      <c r="AP122">
        <f t="shared" si="119"/>
        <v>0</v>
      </c>
      <c r="AQ122">
        <f t="shared" si="120"/>
        <v>0</v>
      </c>
      <c r="AR122">
        <f t="shared" si="121"/>
        <v>0</v>
      </c>
      <c r="AS122">
        <f t="shared" si="122"/>
        <v>0</v>
      </c>
      <c r="AT122">
        <f t="shared" si="123"/>
        <v>0</v>
      </c>
      <c r="AU122">
        <f t="shared" si="124"/>
        <v>0</v>
      </c>
      <c r="AY122" s="5" t="s">
        <v>178</v>
      </c>
    </row>
    <row r="123" spans="1:51" ht="20.100000000000001" customHeight="1" x14ac:dyDescent="0.3">
      <c r="A123" s="25" t="s">
        <v>184</v>
      </c>
      <c r="B123" s="25" t="s">
        <v>183</v>
      </c>
      <c r="C123" s="24" t="s">
        <v>170</v>
      </c>
      <c r="D123" s="18">
        <v>48.9</v>
      </c>
      <c r="E123" s="18"/>
      <c r="F123" s="18"/>
      <c r="G123" s="18"/>
      <c r="H123" s="18"/>
      <c r="I123" s="18"/>
      <c r="J123" s="18"/>
      <c r="K123" s="18"/>
      <c r="L123" s="18"/>
      <c r="M123" s="24" t="s">
        <v>182</v>
      </c>
      <c r="O123" t="str">
        <f>""</f>
        <v/>
      </c>
      <c r="P123" s="5" t="s">
        <v>117</v>
      </c>
      <c r="Q123">
        <v>1</v>
      </c>
      <c r="R123">
        <f t="shared" si="95"/>
        <v>0</v>
      </c>
      <c r="S123">
        <f t="shared" si="96"/>
        <v>0</v>
      </c>
      <c r="T123">
        <f t="shared" si="97"/>
        <v>0</v>
      </c>
      <c r="U123">
        <f t="shared" si="98"/>
        <v>0</v>
      </c>
      <c r="V123">
        <f t="shared" si="99"/>
        <v>0</v>
      </c>
      <c r="W123">
        <f t="shared" si="100"/>
        <v>0</v>
      </c>
      <c r="X123">
        <f t="shared" si="101"/>
        <v>0</v>
      </c>
      <c r="Y123">
        <f t="shared" si="102"/>
        <v>0</v>
      </c>
      <c r="Z123">
        <f t="shared" si="103"/>
        <v>0</v>
      </c>
      <c r="AA123">
        <f t="shared" si="104"/>
        <v>0</v>
      </c>
      <c r="AB123">
        <f t="shared" si="105"/>
        <v>0</v>
      </c>
      <c r="AC123">
        <f t="shared" si="106"/>
        <v>0</v>
      </c>
      <c r="AD123">
        <f t="shared" si="107"/>
        <v>0</v>
      </c>
      <c r="AE123">
        <f t="shared" si="108"/>
        <v>0</v>
      </c>
      <c r="AF123">
        <f t="shared" si="109"/>
        <v>0</v>
      </c>
      <c r="AG123">
        <f t="shared" si="110"/>
        <v>0</v>
      </c>
      <c r="AH123">
        <f t="shared" si="111"/>
        <v>0</v>
      </c>
      <c r="AI123">
        <f t="shared" si="112"/>
        <v>0</v>
      </c>
      <c r="AJ123">
        <f t="shared" si="113"/>
        <v>0</v>
      </c>
      <c r="AK123">
        <f t="shared" si="114"/>
        <v>0</v>
      </c>
      <c r="AL123">
        <f t="shared" si="115"/>
        <v>0</v>
      </c>
      <c r="AM123">
        <f t="shared" si="116"/>
        <v>0</v>
      </c>
      <c r="AN123">
        <f t="shared" si="117"/>
        <v>0</v>
      </c>
      <c r="AO123">
        <f t="shared" si="118"/>
        <v>0</v>
      </c>
      <c r="AP123">
        <f t="shared" si="119"/>
        <v>0</v>
      </c>
      <c r="AQ123">
        <f t="shared" si="120"/>
        <v>0</v>
      </c>
      <c r="AR123">
        <f t="shared" si="121"/>
        <v>0</v>
      </c>
      <c r="AS123">
        <f t="shared" si="122"/>
        <v>0</v>
      </c>
      <c r="AT123">
        <f t="shared" si="123"/>
        <v>0</v>
      </c>
      <c r="AU123">
        <f t="shared" si="124"/>
        <v>0</v>
      </c>
    </row>
    <row r="124" spans="1:51" ht="20.100000000000001" customHeight="1" x14ac:dyDescent="0.3">
      <c r="A124" s="25" t="s">
        <v>242</v>
      </c>
      <c r="B124" s="25" t="s">
        <v>241</v>
      </c>
      <c r="C124" s="24" t="s">
        <v>170</v>
      </c>
      <c r="D124" s="18">
        <v>42.1</v>
      </c>
      <c r="E124" s="18"/>
      <c r="F124" s="18"/>
      <c r="G124" s="18"/>
      <c r="H124" s="18"/>
      <c r="I124" s="18"/>
      <c r="J124" s="18"/>
      <c r="K124" s="18"/>
      <c r="L124" s="18"/>
      <c r="M124" s="24" t="s">
        <v>240</v>
      </c>
      <c r="O124" t="str">
        <f>""</f>
        <v/>
      </c>
      <c r="P124" s="5" t="s">
        <v>117</v>
      </c>
      <c r="Q124">
        <v>1</v>
      </c>
      <c r="R124">
        <f t="shared" si="95"/>
        <v>0</v>
      </c>
      <c r="S124">
        <f t="shared" si="96"/>
        <v>0</v>
      </c>
      <c r="T124">
        <f t="shared" si="97"/>
        <v>0</v>
      </c>
      <c r="U124">
        <f t="shared" si="98"/>
        <v>0</v>
      </c>
      <c r="V124">
        <f t="shared" si="99"/>
        <v>0</v>
      </c>
      <c r="W124">
        <f t="shared" si="100"/>
        <v>0</v>
      </c>
      <c r="X124">
        <f t="shared" si="101"/>
        <v>0</v>
      </c>
      <c r="Y124">
        <f t="shared" si="102"/>
        <v>0</v>
      </c>
      <c r="Z124">
        <f t="shared" si="103"/>
        <v>0</v>
      </c>
      <c r="AA124">
        <f t="shared" si="104"/>
        <v>0</v>
      </c>
      <c r="AB124">
        <f t="shared" si="105"/>
        <v>0</v>
      </c>
      <c r="AC124">
        <f t="shared" si="106"/>
        <v>0</v>
      </c>
      <c r="AD124">
        <f t="shared" si="107"/>
        <v>0</v>
      </c>
      <c r="AE124">
        <f t="shared" si="108"/>
        <v>0</v>
      </c>
      <c r="AF124">
        <f t="shared" si="109"/>
        <v>0</v>
      </c>
      <c r="AG124">
        <f t="shared" si="110"/>
        <v>0</v>
      </c>
      <c r="AH124">
        <f t="shared" si="111"/>
        <v>0</v>
      </c>
      <c r="AI124">
        <f t="shared" si="112"/>
        <v>0</v>
      </c>
      <c r="AJ124">
        <f t="shared" si="113"/>
        <v>0</v>
      </c>
      <c r="AK124">
        <f t="shared" si="114"/>
        <v>0</v>
      </c>
      <c r="AL124">
        <f t="shared" si="115"/>
        <v>0</v>
      </c>
      <c r="AM124">
        <f t="shared" si="116"/>
        <v>0</v>
      </c>
      <c r="AN124">
        <f t="shared" si="117"/>
        <v>0</v>
      </c>
      <c r="AO124">
        <f t="shared" si="118"/>
        <v>0</v>
      </c>
      <c r="AP124">
        <f t="shared" si="119"/>
        <v>0</v>
      </c>
      <c r="AQ124">
        <f t="shared" si="120"/>
        <v>0</v>
      </c>
      <c r="AR124">
        <f t="shared" si="121"/>
        <v>0</v>
      </c>
      <c r="AS124">
        <f t="shared" si="122"/>
        <v>0</v>
      </c>
      <c r="AT124">
        <f t="shared" si="123"/>
        <v>0</v>
      </c>
      <c r="AU124">
        <f t="shared" si="124"/>
        <v>0</v>
      </c>
    </row>
    <row r="125" spans="1:51" ht="20.100000000000001" customHeight="1" x14ac:dyDescent="0.3">
      <c r="A125" s="25" t="s">
        <v>239</v>
      </c>
      <c r="B125" s="25" t="s">
        <v>238</v>
      </c>
      <c r="C125" s="24" t="s">
        <v>170</v>
      </c>
      <c r="D125" s="18">
        <v>11.7</v>
      </c>
      <c r="E125" s="18"/>
      <c r="F125" s="18"/>
      <c r="G125" s="18"/>
      <c r="H125" s="18"/>
      <c r="I125" s="18"/>
      <c r="J125" s="18"/>
      <c r="K125" s="18"/>
      <c r="L125" s="18"/>
      <c r="M125" s="24" t="s">
        <v>237</v>
      </c>
      <c r="O125" t="str">
        <f>""</f>
        <v/>
      </c>
      <c r="P125" s="5" t="s">
        <v>117</v>
      </c>
      <c r="Q125">
        <v>1</v>
      </c>
      <c r="R125">
        <f t="shared" si="95"/>
        <v>0</v>
      </c>
      <c r="S125">
        <f t="shared" si="96"/>
        <v>0</v>
      </c>
      <c r="T125">
        <f t="shared" si="97"/>
        <v>0</v>
      </c>
      <c r="U125">
        <f t="shared" si="98"/>
        <v>0</v>
      </c>
      <c r="V125">
        <f t="shared" si="99"/>
        <v>0</v>
      </c>
      <c r="W125">
        <f t="shared" si="100"/>
        <v>0</v>
      </c>
      <c r="X125">
        <f t="shared" si="101"/>
        <v>0</v>
      </c>
      <c r="Y125">
        <f t="shared" si="102"/>
        <v>0</v>
      </c>
      <c r="Z125">
        <f t="shared" si="103"/>
        <v>0</v>
      </c>
      <c r="AA125">
        <f t="shared" si="104"/>
        <v>0</v>
      </c>
      <c r="AB125">
        <f t="shared" si="105"/>
        <v>0</v>
      </c>
      <c r="AC125">
        <f t="shared" si="106"/>
        <v>0</v>
      </c>
      <c r="AD125">
        <f t="shared" si="107"/>
        <v>0</v>
      </c>
      <c r="AE125">
        <f t="shared" si="108"/>
        <v>0</v>
      </c>
      <c r="AF125">
        <f t="shared" si="109"/>
        <v>0</v>
      </c>
      <c r="AG125">
        <f t="shared" si="110"/>
        <v>0</v>
      </c>
      <c r="AH125">
        <f t="shared" si="111"/>
        <v>0</v>
      </c>
      <c r="AI125">
        <f t="shared" si="112"/>
        <v>0</v>
      </c>
      <c r="AJ125">
        <f t="shared" si="113"/>
        <v>0</v>
      </c>
      <c r="AK125">
        <f t="shared" si="114"/>
        <v>0</v>
      </c>
      <c r="AL125">
        <f t="shared" si="115"/>
        <v>0</v>
      </c>
      <c r="AM125">
        <f t="shared" si="116"/>
        <v>0</v>
      </c>
      <c r="AN125">
        <f t="shared" si="117"/>
        <v>0</v>
      </c>
      <c r="AO125">
        <f t="shared" si="118"/>
        <v>0</v>
      </c>
      <c r="AP125">
        <f t="shared" si="119"/>
        <v>0</v>
      </c>
      <c r="AQ125">
        <f t="shared" si="120"/>
        <v>0</v>
      </c>
      <c r="AR125">
        <f t="shared" si="121"/>
        <v>0</v>
      </c>
      <c r="AS125">
        <f t="shared" si="122"/>
        <v>0</v>
      </c>
      <c r="AT125">
        <f t="shared" si="123"/>
        <v>0</v>
      </c>
      <c r="AU125">
        <f t="shared" si="124"/>
        <v>0</v>
      </c>
      <c r="AY125" s="5" t="s">
        <v>178</v>
      </c>
    </row>
    <row r="126" spans="1:51" ht="20.100000000000001" customHeight="1" x14ac:dyDescent="0.3">
      <c r="A126" s="25" t="s">
        <v>236</v>
      </c>
      <c r="B126" s="25" t="s">
        <v>235</v>
      </c>
      <c r="C126" s="24" t="s">
        <v>170</v>
      </c>
      <c r="D126" s="18">
        <v>5.7</v>
      </c>
      <c r="E126" s="18"/>
      <c r="F126" s="18"/>
      <c r="G126" s="18"/>
      <c r="H126" s="18"/>
      <c r="I126" s="18"/>
      <c r="J126" s="18"/>
      <c r="K126" s="18"/>
      <c r="L126" s="18"/>
      <c r="M126" s="24" t="s">
        <v>234</v>
      </c>
      <c r="O126" t="str">
        <f>""</f>
        <v/>
      </c>
      <c r="P126" s="5" t="s">
        <v>117</v>
      </c>
      <c r="Q126">
        <v>1</v>
      </c>
      <c r="R126">
        <f t="shared" si="95"/>
        <v>0</v>
      </c>
      <c r="S126">
        <f t="shared" si="96"/>
        <v>0</v>
      </c>
      <c r="T126">
        <f t="shared" si="97"/>
        <v>0</v>
      </c>
      <c r="U126">
        <f t="shared" si="98"/>
        <v>0</v>
      </c>
      <c r="V126">
        <f t="shared" si="99"/>
        <v>0</v>
      </c>
      <c r="W126">
        <f t="shared" si="100"/>
        <v>0</v>
      </c>
      <c r="X126">
        <f t="shared" si="101"/>
        <v>0</v>
      </c>
      <c r="Y126">
        <f t="shared" si="102"/>
        <v>0</v>
      </c>
      <c r="Z126">
        <f t="shared" si="103"/>
        <v>0</v>
      </c>
      <c r="AA126">
        <f t="shared" si="104"/>
        <v>0</v>
      </c>
      <c r="AB126">
        <f t="shared" si="105"/>
        <v>0</v>
      </c>
      <c r="AC126">
        <f t="shared" si="106"/>
        <v>0</v>
      </c>
      <c r="AD126">
        <f t="shared" si="107"/>
        <v>0</v>
      </c>
      <c r="AE126">
        <f t="shared" si="108"/>
        <v>0</v>
      </c>
      <c r="AF126">
        <f t="shared" si="109"/>
        <v>0</v>
      </c>
      <c r="AG126">
        <f t="shared" si="110"/>
        <v>0</v>
      </c>
      <c r="AH126">
        <f t="shared" si="111"/>
        <v>0</v>
      </c>
      <c r="AI126">
        <f t="shared" si="112"/>
        <v>0</v>
      </c>
      <c r="AJ126">
        <f t="shared" si="113"/>
        <v>0</v>
      </c>
      <c r="AK126">
        <f t="shared" si="114"/>
        <v>0</v>
      </c>
      <c r="AL126">
        <f t="shared" si="115"/>
        <v>0</v>
      </c>
      <c r="AM126">
        <f t="shared" si="116"/>
        <v>0</v>
      </c>
      <c r="AN126">
        <f t="shared" si="117"/>
        <v>0</v>
      </c>
      <c r="AO126">
        <f t="shared" si="118"/>
        <v>0</v>
      </c>
      <c r="AP126">
        <f t="shared" si="119"/>
        <v>0</v>
      </c>
      <c r="AQ126">
        <f t="shared" si="120"/>
        <v>0</v>
      </c>
      <c r="AR126">
        <f t="shared" si="121"/>
        <v>0</v>
      </c>
      <c r="AS126">
        <f t="shared" si="122"/>
        <v>0</v>
      </c>
      <c r="AT126">
        <f t="shared" si="123"/>
        <v>0</v>
      </c>
      <c r="AU126">
        <f t="shared" si="124"/>
        <v>0</v>
      </c>
      <c r="AY126" s="5" t="s">
        <v>178</v>
      </c>
    </row>
    <row r="127" spans="1:51" ht="20.100000000000001" customHeight="1" x14ac:dyDescent="0.3">
      <c r="A127" s="25" t="s">
        <v>233</v>
      </c>
      <c r="B127" s="25" t="s">
        <v>232</v>
      </c>
      <c r="C127" s="24" t="s">
        <v>186</v>
      </c>
      <c r="D127" s="18">
        <v>6.4</v>
      </c>
      <c r="E127" s="18"/>
      <c r="F127" s="18"/>
      <c r="G127" s="18"/>
      <c r="H127" s="18"/>
      <c r="I127" s="18"/>
      <c r="J127" s="18"/>
      <c r="K127" s="18"/>
      <c r="L127" s="18"/>
      <c r="M127" s="24" t="s">
        <v>231</v>
      </c>
      <c r="O127" t="str">
        <f>""</f>
        <v/>
      </c>
      <c r="P127" s="5" t="s">
        <v>117</v>
      </c>
      <c r="Q127">
        <v>1</v>
      </c>
      <c r="R127">
        <f t="shared" si="95"/>
        <v>0</v>
      </c>
      <c r="S127">
        <f t="shared" si="96"/>
        <v>0</v>
      </c>
      <c r="T127">
        <f t="shared" si="97"/>
        <v>0</v>
      </c>
      <c r="U127">
        <f t="shared" si="98"/>
        <v>0</v>
      </c>
      <c r="V127">
        <f t="shared" si="99"/>
        <v>0</v>
      </c>
      <c r="W127">
        <f t="shared" si="100"/>
        <v>0</v>
      </c>
      <c r="X127">
        <f t="shared" si="101"/>
        <v>0</v>
      </c>
      <c r="Y127">
        <f t="shared" si="102"/>
        <v>0</v>
      </c>
      <c r="Z127">
        <f t="shared" si="103"/>
        <v>0</v>
      </c>
      <c r="AA127">
        <f t="shared" si="104"/>
        <v>0</v>
      </c>
      <c r="AB127">
        <f t="shared" si="105"/>
        <v>0</v>
      </c>
      <c r="AC127">
        <f t="shared" si="106"/>
        <v>0</v>
      </c>
      <c r="AD127">
        <f t="shared" si="107"/>
        <v>0</v>
      </c>
      <c r="AE127">
        <f t="shared" si="108"/>
        <v>0</v>
      </c>
      <c r="AF127">
        <f t="shared" si="109"/>
        <v>0</v>
      </c>
      <c r="AG127">
        <f t="shared" si="110"/>
        <v>0</v>
      </c>
      <c r="AH127">
        <f t="shared" si="111"/>
        <v>0</v>
      </c>
      <c r="AI127">
        <f t="shared" si="112"/>
        <v>0</v>
      </c>
      <c r="AJ127">
        <f t="shared" si="113"/>
        <v>0</v>
      </c>
      <c r="AK127">
        <f t="shared" si="114"/>
        <v>0</v>
      </c>
      <c r="AL127">
        <f t="shared" si="115"/>
        <v>0</v>
      </c>
      <c r="AM127">
        <f t="shared" si="116"/>
        <v>0</v>
      </c>
      <c r="AN127">
        <f t="shared" si="117"/>
        <v>0</v>
      </c>
      <c r="AO127">
        <f t="shared" si="118"/>
        <v>0</v>
      </c>
      <c r="AP127">
        <f t="shared" si="119"/>
        <v>0</v>
      </c>
      <c r="AQ127">
        <f t="shared" si="120"/>
        <v>0</v>
      </c>
      <c r="AR127">
        <f t="shared" si="121"/>
        <v>0</v>
      </c>
      <c r="AS127">
        <f t="shared" si="122"/>
        <v>0</v>
      </c>
      <c r="AT127">
        <f t="shared" si="123"/>
        <v>0</v>
      </c>
      <c r="AU127">
        <f t="shared" si="124"/>
        <v>0</v>
      </c>
      <c r="AY127" s="5" t="s">
        <v>178</v>
      </c>
    </row>
    <row r="128" spans="1:51" ht="20.100000000000001" customHeight="1" x14ac:dyDescent="0.3">
      <c r="A128" s="25" t="s">
        <v>230</v>
      </c>
      <c r="B128" s="25" t="s">
        <v>229</v>
      </c>
      <c r="C128" s="24" t="s">
        <v>170</v>
      </c>
      <c r="D128" s="18">
        <v>9.4</v>
      </c>
      <c r="E128" s="18"/>
      <c r="F128" s="18"/>
      <c r="G128" s="18"/>
      <c r="H128" s="18"/>
      <c r="I128" s="18"/>
      <c r="J128" s="18"/>
      <c r="K128" s="18"/>
      <c r="L128" s="18"/>
      <c r="M128" s="24" t="s">
        <v>228</v>
      </c>
      <c r="O128" t="str">
        <f>""</f>
        <v/>
      </c>
      <c r="P128" s="5" t="s">
        <v>117</v>
      </c>
      <c r="Q128">
        <v>1</v>
      </c>
      <c r="R128">
        <f t="shared" si="95"/>
        <v>0</v>
      </c>
      <c r="S128">
        <f t="shared" si="96"/>
        <v>0</v>
      </c>
      <c r="T128">
        <f t="shared" si="97"/>
        <v>0</v>
      </c>
      <c r="U128">
        <f t="shared" si="98"/>
        <v>0</v>
      </c>
      <c r="V128">
        <f t="shared" si="99"/>
        <v>0</v>
      </c>
      <c r="W128">
        <f t="shared" si="100"/>
        <v>0</v>
      </c>
      <c r="X128">
        <f t="shared" si="101"/>
        <v>0</v>
      </c>
      <c r="Y128">
        <f t="shared" si="102"/>
        <v>0</v>
      </c>
      <c r="Z128">
        <f t="shared" si="103"/>
        <v>0</v>
      </c>
      <c r="AA128">
        <f t="shared" si="104"/>
        <v>0</v>
      </c>
      <c r="AB128">
        <f t="shared" si="105"/>
        <v>0</v>
      </c>
      <c r="AC128">
        <f t="shared" si="106"/>
        <v>0</v>
      </c>
      <c r="AD128">
        <f t="shared" si="107"/>
        <v>0</v>
      </c>
      <c r="AE128">
        <f t="shared" si="108"/>
        <v>0</v>
      </c>
      <c r="AF128">
        <f t="shared" si="109"/>
        <v>0</v>
      </c>
      <c r="AG128">
        <f t="shared" si="110"/>
        <v>0</v>
      </c>
      <c r="AH128">
        <f t="shared" si="111"/>
        <v>0</v>
      </c>
      <c r="AI128">
        <f t="shared" si="112"/>
        <v>0</v>
      </c>
      <c r="AJ128">
        <f t="shared" si="113"/>
        <v>0</v>
      </c>
      <c r="AK128">
        <f t="shared" si="114"/>
        <v>0</v>
      </c>
      <c r="AL128">
        <f t="shared" si="115"/>
        <v>0</v>
      </c>
      <c r="AM128">
        <f t="shared" si="116"/>
        <v>0</v>
      </c>
      <c r="AN128">
        <f t="shared" si="117"/>
        <v>0</v>
      </c>
      <c r="AO128">
        <f t="shared" si="118"/>
        <v>0</v>
      </c>
      <c r="AP128">
        <f t="shared" si="119"/>
        <v>0</v>
      </c>
      <c r="AQ128">
        <f t="shared" si="120"/>
        <v>0</v>
      </c>
      <c r="AR128">
        <f t="shared" si="121"/>
        <v>0</v>
      </c>
      <c r="AS128">
        <f t="shared" si="122"/>
        <v>0</v>
      </c>
      <c r="AT128">
        <f t="shared" si="123"/>
        <v>0</v>
      </c>
      <c r="AU128">
        <f t="shared" si="124"/>
        <v>0</v>
      </c>
      <c r="AY128" s="5" t="s">
        <v>178</v>
      </c>
    </row>
    <row r="129" spans="1:51" ht="20.100000000000001" customHeight="1" x14ac:dyDescent="0.3">
      <c r="A129" s="25" t="s">
        <v>227</v>
      </c>
      <c r="B129" s="25" t="s">
        <v>226</v>
      </c>
      <c r="C129" s="24" t="s">
        <v>186</v>
      </c>
      <c r="D129" s="18">
        <v>38.299999999999997</v>
      </c>
      <c r="E129" s="18"/>
      <c r="F129" s="18"/>
      <c r="G129" s="18"/>
      <c r="H129" s="18"/>
      <c r="I129" s="18"/>
      <c r="J129" s="18"/>
      <c r="K129" s="18"/>
      <c r="L129" s="18"/>
      <c r="M129" s="24" t="s">
        <v>225</v>
      </c>
      <c r="O129" t="str">
        <f>""</f>
        <v/>
      </c>
      <c r="P129" s="5" t="s">
        <v>117</v>
      </c>
      <c r="Q129">
        <v>1</v>
      </c>
      <c r="R129">
        <f t="shared" si="95"/>
        <v>0</v>
      </c>
      <c r="S129">
        <f t="shared" si="96"/>
        <v>0</v>
      </c>
      <c r="T129">
        <f t="shared" si="97"/>
        <v>0</v>
      </c>
      <c r="U129">
        <f t="shared" si="98"/>
        <v>0</v>
      </c>
      <c r="V129">
        <f t="shared" si="99"/>
        <v>0</v>
      </c>
      <c r="W129">
        <f t="shared" si="100"/>
        <v>0</v>
      </c>
      <c r="X129">
        <f t="shared" si="101"/>
        <v>0</v>
      </c>
      <c r="Y129">
        <f t="shared" si="102"/>
        <v>0</v>
      </c>
      <c r="Z129">
        <f t="shared" si="103"/>
        <v>0</v>
      </c>
      <c r="AA129">
        <f t="shared" si="104"/>
        <v>0</v>
      </c>
      <c r="AB129">
        <f t="shared" si="105"/>
        <v>0</v>
      </c>
      <c r="AC129">
        <f t="shared" si="106"/>
        <v>0</v>
      </c>
      <c r="AD129">
        <f t="shared" si="107"/>
        <v>0</v>
      </c>
      <c r="AE129">
        <f t="shared" si="108"/>
        <v>0</v>
      </c>
      <c r="AF129">
        <f t="shared" si="109"/>
        <v>0</v>
      </c>
      <c r="AG129">
        <f t="shared" si="110"/>
        <v>0</v>
      </c>
      <c r="AH129">
        <f t="shared" si="111"/>
        <v>0</v>
      </c>
      <c r="AI129">
        <f t="shared" si="112"/>
        <v>0</v>
      </c>
      <c r="AJ129">
        <f t="shared" si="113"/>
        <v>0</v>
      </c>
      <c r="AK129">
        <f t="shared" si="114"/>
        <v>0</v>
      </c>
      <c r="AL129">
        <f t="shared" si="115"/>
        <v>0</v>
      </c>
      <c r="AM129">
        <f t="shared" si="116"/>
        <v>0</v>
      </c>
      <c r="AN129">
        <f t="shared" si="117"/>
        <v>0</v>
      </c>
      <c r="AO129">
        <f t="shared" si="118"/>
        <v>0</v>
      </c>
      <c r="AP129">
        <f t="shared" si="119"/>
        <v>0</v>
      </c>
      <c r="AQ129">
        <f t="shared" si="120"/>
        <v>0</v>
      </c>
      <c r="AR129">
        <f t="shared" si="121"/>
        <v>0</v>
      </c>
      <c r="AS129">
        <f t="shared" si="122"/>
        <v>0</v>
      </c>
      <c r="AT129">
        <f t="shared" si="123"/>
        <v>0</v>
      </c>
      <c r="AU129">
        <f t="shared" si="124"/>
        <v>0</v>
      </c>
      <c r="AY129" s="5" t="s">
        <v>178</v>
      </c>
    </row>
    <row r="130" spans="1:51" ht="20.100000000000001" customHeight="1" x14ac:dyDescent="0.3">
      <c r="A130" s="25" t="s">
        <v>224</v>
      </c>
      <c r="B130" s="25" t="s">
        <v>223</v>
      </c>
      <c r="C130" s="24" t="s">
        <v>152</v>
      </c>
      <c r="D130" s="18">
        <v>1</v>
      </c>
      <c r="E130" s="18"/>
      <c r="F130" s="18"/>
      <c r="G130" s="18"/>
      <c r="H130" s="18"/>
      <c r="I130" s="18"/>
      <c r="J130" s="18"/>
      <c r="K130" s="18"/>
      <c r="L130" s="18"/>
      <c r="M130" s="24" t="s">
        <v>222</v>
      </c>
      <c r="O130" t="str">
        <f>""</f>
        <v/>
      </c>
      <c r="P130" s="5" t="s">
        <v>117</v>
      </c>
      <c r="Q130">
        <v>1</v>
      </c>
      <c r="R130">
        <f t="shared" si="95"/>
        <v>0</v>
      </c>
      <c r="S130">
        <f t="shared" si="96"/>
        <v>0</v>
      </c>
      <c r="T130">
        <f t="shared" si="97"/>
        <v>0</v>
      </c>
      <c r="U130">
        <f t="shared" si="98"/>
        <v>0</v>
      </c>
      <c r="V130">
        <f t="shared" si="99"/>
        <v>0</v>
      </c>
      <c r="W130">
        <f t="shared" si="100"/>
        <v>0</v>
      </c>
      <c r="X130">
        <f t="shared" si="101"/>
        <v>0</v>
      </c>
      <c r="Y130">
        <f t="shared" si="102"/>
        <v>0</v>
      </c>
      <c r="Z130">
        <f t="shared" si="103"/>
        <v>0</v>
      </c>
      <c r="AA130">
        <f t="shared" si="104"/>
        <v>0</v>
      </c>
      <c r="AB130">
        <f t="shared" si="105"/>
        <v>0</v>
      </c>
      <c r="AC130">
        <f t="shared" si="106"/>
        <v>0</v>
      </c>
      <c r="AD130">
        <f t="shared" si="107"/>
        <v>0</v>
      </c>
      <c r="AE130">
        <f t="shared" si="108"/>
        <v>0</v>
      </c>
      <c r="AF130">
        <f t="shared" si="109"/>
        <v>0</v>
      </c>
      <c r="AG130">
        <f t="shared" si="110"/>
        <v>0</v>
      </c>
      <c r="AH130">
        <f t="shared" si="111"/>
        <v>0</v>
      </c>
      <c r="AI130">
        <f t="shared" si="112"/>
        <v>0</v>
      </c>
      <c r="AJ130">
        <f t="shared" si="113"/>
        <v>0</v>
      </c>
      <c r="AK130">
        <f t="shared" si="114"/>
        <v>0</v>
      </c>
      <c r="AL130">
        <f t="shared" si="115"/>
        <v>0</v>
      </c>
      <c r="AM130">
        <f t="shared" si="116"/>
        <v>0</v>
      </c>
      <c r="AN130">
        <f t="shared" si="117"/>
        <v>0</v>
      </c>
      <c r="AO130">
        <f t="shared" si="118"/>
        <v>0</v>
      </c>
      <c r="AP130">
        <f t="shared" si="119"/>
        <v>0</v>
      </c>
      <c r="AQ130">
        <f t="shared" si="120"/>
        <v>0</v>
      </c>
      <c r="AR130">
        <f t="shared" si="121"/>
        <v>0</v>
      </c>
      <c r="AS130">
        <f t="shared" si="122"/>
        <v>0</v>
      </c>
      <c r="AT130">
        <f t="shared" si="123"/>
        <v>0</v>
      </c>
      <c r="AU130">
        <f t="shared" si="124"/>
        <v>0</v>
      </c>
    </row>
    <row r="131" spans="1:51" ht="20.100000000000001" customHeight="1" x14ac:dyDescent="0.3">
      <c r="A131" s="25" t="s">
        <v>172</v>
      </c>
      <c r="B131" s="25" t="s">
        <v>177</v>
      </c>
      <c r="C131" s="24" t="s">
        <v>170</v>
      </c>
      <c r="D131" s="18">
        <v>16.2</v>
      </c>
      <c r="E131" s="18"/>
      <c r="F131" s="18"/>
      <c r="G131" s="18"/>
      <c r="H131" s="18"/>
      <c r="I131" s="18"/>
      <c r="J131" s="18"/>
      <c r="K131" s="18"/>
      <c r="L131" s="18"/>
      <c r="M131" s="24" t="s">
        <v>176</v>
      </c>
      <c r="O131" t="str">
        <f>""</f>
        <v/>
      </c>
      <c r="P131" s="5" t="s">
        <v>117</v>
      </c>
      <c r="Q131">
        <v>1</v>
      </c>
      <c r="R131">
        <f t="shared" si="95"/>
        <v>0</v>
      </c>
      <c r="S131">
        <f t="shared" si="96"/>
        <v>0</v>
      </c>
      <c r="T131">
        <f t="shared" si="97"/>
        <v>0</v>
      </c>
      <c r="U131">
        <f t="shared" si="98"/>
        <v>0</v>
      </c>
      <c r="V131">
        <f t="shared" si="99"/>
        <v>0</v>
      </c>
      <c r="W131">
        <f t="shared" si="100"/>
        <v>0</v>
      </c>
      <c r="X131">
        <f t="shared" si="101"/>
        <v>0</v>
      </c>
      <c r="Y131">
        <f t="shared" si="102"/>
        <v>0</v>
      </c>
      <c r="Z131">
        <f t="shared" si="103"/>
        <v>0</v>
      </c>
      <c r="AA131">
        <f t="shared" si="104"/>
        <v>0</v>
      </c>
      <c r="AB131">
        <f t="shared" si="105"/>
        <v>0</v>
      </c>
      <c r="AC131">
        <f t="shared" si="106"/>
        <v>0</v>
      </c>
      <c r="AD131">
        <f t="shared" si="107"/>
        <v>0</v>
      </c>
      <c r="AE131">
        <f t="shared" si="108"/>
        <v>0</v>
      </c>
      <c r="AF131">
        <f t="shared" si="109"/>
        <v>0</v>
      </c>
      <c r="AG131">
        <f t="shared" si="110"/>
        <v>0</v>
      </c>
      <c r="AH131">
        <f t="shared" si="111"/>
        <v>0</v>
      </c>
      <c r="AI131">
        <f t="shared" si="112"/>
        <v>0</v>
      </c>
      <c r="AJ131">
        <f t="shared" si="113"/>
        <v>0</v>
      </c>
      <c r="AK131">
        <f t="shared" si="114"/>
        <v>0</v>
      </c>
      <c r="AL131">
        <f t="shared" si="115"/>
        <v>0</v>
      </c>
      <c r="AM131">
        <f t="shared" si="116"/>
        <v>0</v>
      </c>
      <c r="AN131">
        <f t="shared" si="117"/>
        <v>0</v>
      </c>
      <c r="AO131">
        <f t="shared" si="118"/>
        <v>0</v>
      </c>
      <c r="AP131">
        <f t="shared" si="119"/>
        <v>0</v>
      </c>
      <c r="AQ131">
        <f t="shared" si="120"/>
        <v>0</v>
      </c>
      <c r="AR131">
        <f t="shared" si="121"/>
        <v>0</v>
      </c>
      <c r="AS131">
        <f t="shared" si="122"/>
        <v>0</v>
      </c>
      <c r="AT131">
        <f t="shared" si="123"/>
        <v>0</v>
      </c>
      <c r="AU131">
        <f t="shared" si="124"/>
        <v>0</v>
      </c>
    </row>
    <row r="132" spans="1:51" ht="20.100000000000001" customHeight="1" x14ac:dyDescent="0.3">
      <c r="A132" s="25" t="s">
        <v>172</v>
      </c>
      <c r="B132" s="25" t="s">
        <v>171</v>
      </c>
      <c r="C132" s="24" t="s">
        <v>170</v>
      </c>
      <c r="D132" s="18">
        <v>60.6</v>
      </c>
      <c r="E132" s="18"/>
      <c r="F132" s="18"/>
      <c r="G132" s="18"/>
      <c r="H132" s="18"/>
      <c r="I132" s="18"/>
      <c r="J132" s="18"/>
      <c r="K132" s="18"/>
      <c r="L132" s="18"/>
      <c r="M132" s="24" t="s">
        <v>169</v>
      </c>
      <c r="O132" t="str">
        <f>""</f>
        <v/>
      </c>
      <c r="P132" s="5" t="s">
        <v>117</v>
      </c>
      <c r="Q132">
        <v>1</v>
      </c>
      <c r="R132">
        <f t="shared" si="95"/>
        <v>0</v>
      </c>
      <c r="S132">
        <f t="shared" si="96"/>
        <v>0</v>
      </c>
      <c r="T132">
        <f t="shared" si="97"/>
        <v>0</v>
      </c>
      <c r="U132">
        <f t="shared" si="98"/>
        <v>0</v>
      </c>
      <c r="V132">
        <f t="shared" si="99"/>
        <v>0</v>
      </c>
      <c r="W132">
        <f t="shared" si="100"/>
        <v>0</v>
      </c>
      <c r="X132">
        <f t="shared" si="101"/>
        <v>0</v>
      </c>
      <c r="Y132">
        <f t="shared" si="102"/>
        <v>0</v>
      </c>
      <c r="Z132">
        <f t="shared" si="103"/>
        <v>0</v>
      </c>
      <c r="AA132">
        <f t="shared" si="104"/>
        <v>0</v>
      </c>
      <c r="AB132">
        <f t="shared" si="105"/>
        <v>0</v>
      </c>
      <c r="AC132">
        <f t="shared" si="106"/>
        <v>0</v>
      </c>
      <c r="AD132">
        <f t="shared" si="107"/>
        <v>0</v>
      </c>
      <c r="AE132">
        <f t="shared" si="108"/>
        <v>0</v>
      </c>
      <c r="AF132">
        <f t="shared" si="109"/>
        <v>0</v>
      </c>
      <c r="AG132">
        <f t="shared" si="110"/>
        <v>0</v>
      </c>
      <c r="AH132">
        <f t="shared" si="111"/>
        <v>0</v>
      </c>
      <c r="AI132">
        <f t="shared" si="112"/>
        <v>0</v>
      </c>
      <c r="AJ132">
        <f t="shared" si="113"/>
        <v>0</v>
      </c>
      <c r="AK132">
        <f t="shared" si="114"/>
        <v>0</v>
      </c>
      <c r="AL132">
        <f t="shared" si="115"/>
        <v>0</v>
      </c>
      <c r="AM132">
        <f t="shared" si="116"/>
        <v>0</v>
      </c>
      <c r="AN132">
        <f t="shared" si="117"/>
        <v>0</v>
      </c>
      <c r="AO132">
        <f t="shared" si="118"/>
        <v>0</v>
      </c>
      <c r="AP132">
        <f t="shared" si="119"/>
        <v>0</v>
      </c>
      <c r="AQ132">
        <f t="shared" si="120"/>
        <v>0</v>
      </c>
      <c r="AR132">
        <f t="shared" si="121"/>
        <v>0</v>
      </c>
      <c r="AS132">
        <f t="shared" si="122"/>
        <v>0</v>
      </c>
      <c r="AT132">
        <f t="shared" si="123"/>
        <v>0</v>
      </c>
      <c r="AU132">
        <f t="shared" si="124"/>
        <v>0</v>
      </c>
    </row>
    <row r="133" spans="1:51" ht="20.100000000000001" customHeight="1" x14ac:dyDescent="0.3">
      <c r="A133" s="25" t="s">
        <v>221</v>
      </c>
      <c r="B133" s="25" t="s">
        <v>220</v>
      </c>
      <c r="C133" s="24" t="s">
        <v>170</v>
      </c>
      <c r="D133" s="18">
        <v>142.69999999999999</v>
      </c>
      <c r="E133" s="18"/>
      <c r="F133" s="18"/>
      <c r="G133" s="18"/>
      <c r="H133" s="18"/>
      <c r="I133" s="18"/>
      <c r="J133" s="18"/>
      <c r="K133" s="18"/>
      <c r="L133" s="18"/>
      <c r="M133" s="24" t="s">
        <v>219</v>
      </c>
      <c r="O133" t="str">
        <f>""</f>
        <v/>
      </c>
      <c r="P133" s="5" t="s">
        <v>117</v>
      </c>
      <c r="Q133">
        <v>1</v>
      </c>
      <c r="R133">
        <f t="shared" si="95"/>
        <v>0</v>
      </c>
      <c r="S133">
        <f t="shared" si="96"/>
        <v>0</v>
      </c>
      <c r="T133">
        <f t="shared" si="97"/>
        <v>0</v>
      </c>
      <c r="U133">
        <f t="shared" si="98"/>
        <v>0</v>
      </c>
      <c r="V133">
        <f t="shared" si="99"/>
        <v>0</v>
      </c>
      <c r="W133">
        <f t="shared" si="100"/>
        <v>0</v>
      </c>
      <c r="X133">
        <f t="shared" si="101"/>
        <v>0</v>
      </c>
      <c r="Y133">
        <f t="shared" si="102"/>
        <v>0</v>
      </c>
      <c r="Z133">
        <f t="shared" si="103"/>
        <v>0</v>
      </c>
      <c r="AA133">
        <f t="shared" si="104"/>
        <v>0</v>
      </c>
      <c r="AB133">
        <f t="shared" si="105"/>
        <v>0</v>
      </c>
      <c r="AC133">
        <f t="shared" si="106"/>
        <v>0</v>
      </c>
      <c r="AD133">
        <f t="shared" si="107"/>
        <v>0</v>
      </c>
      <c r="AE133">
        <f t="shared" si="108"/>
        <v>0</v>
      </c>
      <c r="AF133">
        <f t="shared" si="109"/>
        <v>0</v>
      </c>
      <c r="AG133">
        <f t="shared" si="110"/>
        <v>0</v>
      </c>
      <c r="AH133">
        <f t="shared" si="111"/>
        <v>0</v>
      </c>
      <c r="AI133">
        <f t="shared" si="112"/>
        <v>0</v>
      </c>
      <c r="AJ133">
        <f t="shared" si="113"/>
        <v>0</v>
      </c>
      <c r="AK133">
        <f t="shared" si="114"/>
        <v>0</v>
      </c>
      <c r="AL133">
        <f t="shared" si="115"/>
        <v>0</v>
      </c>
      <c r="AM133">
        <f t="shared" si="116"/>
        <v>0</v>
      </c>
      <c r="AN133">
        <f t="shared" si="117"/>
        <v>0</v>
      </c>
      <c r="AO133">
        <f t="shared" si="118"/>
        <v>0</v>
      </c>
      <c r="AP133">
        <f t="shared" si="119"/>
        <v>0</v>
      </c>
      <c r="AQ133">
        <f t="shared" si="120"/>
        <v>0</v>
      </c>
      <c r="AR133">
        <f t="shared" si="121"/>
        <v>0</v>
      </c>
      <c r="AS133">
        <f t="shared" si="122"/>
        <v>0</v>
      </c>
      <c r="AT133">
        <f t="shared" si="123"/>
        <v>0</v>
      </c>
      <c r="AU133">
        <f t="shared" si="124"/>
        <v>0</v>
      </c>
    </row>
    <row r="134" spans="1:51" ht="20.100000000000001" customHeight="1" x14ac:dyDescent="0.3">
      <c r="A134" s="25" t="s">
        <v>218</v>
      </c>
      <c r="B134" s="25" t="s">
        <v>217</v>
      </c>
      <c r="C134" s="24" t="s">
        <v>170</v>
      </c>
      <c r="D134" s="18">
        <v>9</v>
      </c>
      <c r="E134" s="18"/>
      <c r="F134" s="18"/>
      <c r="G134" s="18"/>
      <c r="H134" s="18"/>
      <c r="I134" s="18"/>
      <c r="J134" s="18"/>
      <c r="K134" s="18"/>
      <c r="L134" s="18"/>
      <c r="M134" s="24" t="s">
        <v>216</v>
      </c>
      <c r="O134" t="str">
        <f>""</f>
        <v/>
      </c>
      <c r="P134" s="5" t="s">
        <v>117</v>
      </c>
      <c r="Q134">
        <v>1</v>
      </c>
      <c r="R134">
        <f t="shared" si="95"/>
        <v>0</v>
      </c>
      <c r="S134">
        <f t="shared" si="96"/>
        <v>0</v>
      </c>
      <c r="T134">
        <f t="shared" si="97"/>
        <v>0</v>
      </c>
      <c r="U134">
        <f t="shared" si="98"/>
        <v>0</v>
      </c>
      <c r="V134">
        <f t="shared" si="99"/>
        <v>0</v>
      </c>
      <c r="W134">
        <f t="shared" si="100"/>
        <v>0</v>
      </c>
      <c r="X134">
        <f t="shared" si="101"/>
        <v>0</v>
      </c>
      <c r="Y134">
        <f t="shared" si="102"/>
        <v>0</v>
      </c>
      <c r="Z134">
        <f t="shared" si="103"/>
        <v>0</v>
      </c>
      <c r="AA134">
        <f t="shared" si="104"/>
        <v>0</v>
      </c>
      <c r="AB134">
        <f t="shared" si="105"/>
        <v>0</v>
      </c>
      <c r="AC134">
        <f t="shared" si="106"/>
        <v>0</v>
      </c>
      <c r="AD134">
        <f t="shared" si="107"/>
        <v>0</v>
      </c>
      <c r="AE134">
        <f t="shared" si="108"/>
        <v>0</v>
      </c>
      <c r="AF134">
        <f t="shared" si="109"/>
        <v>0</v>
      </c>
      <c r="AG134">
        <f t="shared" si="110"/>
        <v>0</v>
      </c>
      <c r="AH134">
        <f t="shared" si="111"/>
        <v>0</v>
      </c>
      <c r="AI134">
        <f t="shared" si="112"/>
        <v>0</v>
      </c>
      <c r="AJ134">
        <f t="shared" si="113"/>
        <v>0</v>
      </c>
      <c r="AK134">
        <f t="shared" si="114"/>
        <v>0</v>
      </c>
      <c r="AL134">
        <f t="shared" si="115"/>
        <v>0</v>
      </c>
      <c r="AM134">
        <f t="shared" si="116"/>
        <v>0</v>
      </c>
      <c r="AN134">
        <f t="shared" si="117"/>
        <v>0</v>
      </c>
      <c r="AO134">
        <f t="shared" si="118"/>
        <v>0</v>
      </c>
      <c r="AP134">
        <f t="shared" si="119"/>
        <v>0</v>
      </c>
      <c r="AQ134">
        <f t="shared" si="120"/>
        <v>0</v>
      </c>
      <c r="AR134">
        <f t="shared" si="121"/>
        <v>0</v>
      </c>
      <c r="AS134">
        <f t="shared" si="122"/>
        <v>0</v>
      </c>
      <c r="AT134">
        <f t="shared" si="123"/>
        <v>0</v>
      </c>
      <c r="AU134">
        <f t="shared" si="124"/>
        <v>0</v>
      </c>
      <c r="AY134" s="5" t="s">
        <v>178</v>
      </c>
    </row>
    <row r="135" spans="1:51" ht="20.100000000000001" customHeight="1" x14ac:dyDescent="0.3">
      <c r="A135" s="25" t="s">
        <v>215</v>
      </c>
      <c r="B135" s="25" t="s">
        <v>214</v>
      </c>
      <c r="C135" s="24" t="s">
        <v>186</v>
      </c>
      <c r="D135" s="18">
        <v>65</v>
      </c>
      <c r="E135" s="18"/>
      <c r="F135" s="18"/>
      <c r="G135" s="18"/>
      <c r="H135" s="18"/>
      <c r="I135" s="18"/>
      <c r="J135" s="18"/>
      <c r="K135" s="18"/>
      <c r="L135" s="18"/>
      <c r="M135" s="24" t="s">
        <v>213</v>
      </c>
      <c r="O135" t="str">
        <f>""</f>
        <v/>
      </c>
      <c r="P135" s="5" t="s">
        <v>117</v>
      </c>
      <c r="Q135">
        <v>1</v>
      </c>
      <c r="R135">
        <f t="shared" si="95"/>
        <v>0</v>
      </c>
      <c r="S135">
        <f t="shared" si="96"/>
        <v>0</v>
      </c>
      <c r="T135">
        <f t="shared" si="97"/>
        <v>0</v>
      </c>
      <c r="U135">
        <f t="shared" si="98"/>
        <v>0</v>
      </c>
      <c r="V135">
        <f t="shared" si="99"/>
        <v>0</v>
      </c>
      <c r="W135">
        <f t="shared" si="100"/>
        <v>0</v>
      </c>
      <c r="X135">
        <f t="shared" si="101"/>
        <v>0</v>
      </c>
      <c r="Y135">
        <f t="shared" si="102"/>
        <v>0</v>
      </c>
      <c r="Z135">
        <f t="shared" si="103"/>
        <v>0</v>
      </c>
      <c r="AA135">
        <f t="shared" si="104"/>
        <v>0</v>
      </c>
      <c r="AB135">
        <f t="shared" si="105"/>
        <v>0</v>
      </c>
      <c r="AC135">
        <f t="shared" si="106"/>
        <v>0</v>
      </c>
      <c r="AD135">
        <f t="shared" si="107"/>
        <v>0</v>
      </c>
      <c r="AE135">
        <f t="shared" si="108"/>
        <v>0</v>
      </c>
      <c r="AF135">
        <f t="shared" si="109"/>
        <v>0</v>
      </c>
      <c r="AG135">
        <f t="shared" si="110"/>
        <v>0</v>
      </c>
      <c r="AH135">
        <f t="shared" si="111"/>
        <v>0</v>
      </c>
      <c r="AI135">
        <f t="shared" si="112"/>
        <v>0</v>
      </c>
      <c r="AJ135">
        <f t="shared" si="113"/>
        <v>0</v>
      </c>
      <c r="AK135">
        <f t="shared" si="114"/>
        <v>0</v>
      </c>
      <c r="AL135">
        <f t="shared" si="115"/>
        <v>0</v>
      </c>
      <c r="AM135">
        <f t="shared" si="116"/>
        <v>0</v>
      </c>
      <c r="AN135">
        <f t="shared" si="117"/>
        <v>0</v>
      </c>
      <c r="AO135">
        <f t="shared" si="118"/>
        <v>0</v>
      </c>
      <c r="AP135">
        <f t="shared" si="119"/>
        <v>0</v>
      </c>
      <c r="AQ135">
        <f t="shared" si="120"/>
        <v>0</v>
      </c>
      <c r="AR135">
        <f t="shared" si="121"/>
        <v>0</v>
      </c>
      <c r="AS135">
        <f t="shared" si="122"/>
        <v>0</v>
      </c>
      <c r="AT135">
        <f t="shared" si="123"/>
        <v>0</v>
      </c>
      <c r="AU135">
        <f t="shared" si="124"/>
        <v>0</v>
      </c>
      <c r="AY135" s="5" t="s">
        <v>178</v>
      </c>
    </row>
    <row r="136" spans="1:51" ht="20.100000000000001" customHeight="1" x14ac:dyDescent="0.3">
      <c r="A136" s="25" t="s">
        <v>212</v>
      </c>
      <c r="B136" s="25" t="s">
        <v>211</v>
      </c>
      <c r="C136" s="24" t="s">
        <v>186</v>
      </c>
      <c r="D136" s="18">
        <v>9.6</v>
      </c>
      <c r="E136" s="18"/>
      <c r="F136" s="18"/>
      <c r="G136" s="18"/>
      <c r="H136" s="18"/>
      <c r="I136" s="18"/>
      <c r="J136" s="18"/>
      <c r="K136" s="18"/>
      <c r="L136" s="18"/>
      <c r="M136" s="24" t="s">
        <v>210</v>
      </c>
      <c r="O136" t="str">
        <f>""</f>
        <v/>
      </c>
      <c r="P136" s="5" t="s">
        <v>117</v>
      </c>
      <c r="Q136">
        <v>1</v>
      </c>
      <c r="R136">
        <f t="shared" si="95"/>
        <v>0</v>
      </c>
      <c r="S136">
        <f t="shared" si="96"/>
        <v>0</v>
      </c>
      <c r="T136">
        <f t="shared" si="97"/>
        <v>0</v>
      </c>
      <c r="U136">
        <f t="shared" si="98"/>
        <v>0</v>
      </c>
      <c r="V136">
        <f t="shared" si="99"/>
        <v>0</v>
      </c>
      <c r="W136">
        <f t="shared" si="100"/>
        <v>0</v>
      </c>
      <c r="X136">
        <f t="shared" si="101"/>
        <v>0</v>
      </c>
      <c r="Y136">
        <f t="shared" si="102"/>
        <v>0</v>
      </c>
      <c r="Z136">
        <f t="shared" si="103"/>
        <v>0</v>
      </c>
      <c r="AA136">
        <f t="shared" si="104"/>
        <v>0</v>
      </c>
      <c r="AB136">
        <f t="shared" si="105"/>
        <v>0</v>
      </c>
      <c r="AC136">
        <f t="shared" si="106"/>
        <v>0</v>
      </c>
      <c r="AD136">
        <f t="shared" si="107"/>
        <v>0</v>
      </c>
      <c r="AE136">
        <f t="shared" si="108"/>
        <v>0</v>
      </c>
      <c r="AF136">
        <f t="shared" si="109"/>
        <v>0</v>
      </c>
      <c r="AG136">
        <f t="shared" si="110"/>
        <v>0</v>
      </c>
      <c r="AH136">
        <f t="shared" si="111"/>
        <v>0</v>
      </c>
      <c r="AI136">
        <f t="shared" si="112"/>
        <v>0</v>
      </c>
      <c r="AJ136">
        <f t="shared" si="113"/>
        <v>0</v>
      </c>
      <c r="AK136">
        <f t="shared" si="114"/>
        <v>0</v>
      </c>
      <c r="AL136">
        <f t="shared" si="115"/>
        <v>0</v>
      </c>
      <c r="AM136">
        <f t="shared" si="116"/>
        <v>0</v>
      </c>
      <c r="AN136">
        <f t="shared" si="117"/>
        <v>0</v>
      </c>
      <c r="AO136">
        <f t="shared" si="118"/>
        <v>0</v>
      </c>
      <c r="AP136">
        <f t="shared" si="119"/>
        <v>0</v>
      </c>
      <c r="AQ136">
        <f t="shared" si="120"/>
        <v>0</v>
      </c>
      <c r="AR136">
        <f t="shared" si="121"/>
        <v>0</v>
      </c>
      <c r="AS136">
        <f t="shared" si="122"/>
        <v>0</v>
      </c>
      <c r="AT136">
        <f t="shared" si="123"/>
        <v>0</v>
      </c>
      <c r="AU136">
        <f t="shared" si="124"/>
        <v>0</v>
      </c>
      <c r="AY136" s="5" t="s">
        <v>178</v>
      </c>
    </row>
    <row r="137" spans="1:51" ht="20.100000000000001" customHeight="1" x14ac:dyDescent="0.3">
      <c r="A137" s="25" t="s">
        <v>209</v>
      </c>
      <c r="B137" s="25" t="s">
        <v>208</v>
      </c>
      <c r="C137" s="24" t="s">
        <v>207</v>
      </c>
      <c r="D137" s="18">
        <v>3</v>
      </c>
      <c r="E137" s="18"/>
      <c r="F137" s="18"/>
      <c r="G137" s="18"/>
      <c r="H137" s="18"/>
      <c r="I137" s="18"/>
      <c r="J137" s="18"/>
      <c r="K137" s="18"/>
      <c r="L137" s="18"/>
      <c r="M137" s="24" t="s">
        <v>206</v>
      </c>
      <c r="O137" t="str">
        <f>""</f>
        <v/>
      </c>
      <c r="P137" s="5" t="s">
        <v>117</v>
      </c>
      <c r="Q137">
        <v>1</v>
      </c>
      <c r="R137">
        <f t="shared" si="95"/>
        <v>0</v>
      </c>
      <c r="S137">
        <f t="shared" si="96"/>
        <v>0</v>
      </c>
      <c r="T137">
        <f t="shared" si="97"/>
        <v>0</v>
      </c>
      <c r="U137">
        <f t="shared" si="98"/>
        <v>0</v>
      </c>
      <c r="V137">
        <f t="shared" si="99"/>
        <v>0</v>
      </c>
      <c r="W137">
        <f t="shared" si="100"/>
        <v>0</v>
      </c>
      <c r="X137">
        <f t="shared" si="101"/>
        <v>0</v>
      </c>
      <c r="Y137">
        <f t="shared" si="102"/>
        <v>0</v>
      </c>
      <c r="Z137">
        <f t="shared" si="103"/>
        <v>0</v>
      </c>
      <c r="AA137">
        <f t="shared" si="104"/>
        <v>0</v>
      </c>
      <c r="AB137">
        <f t="shared" si="105"/>
        <v>0</v>
      </c>
      <c r="AC137">
        <f t="shared" si="106"/>
        <v>0</v>
      </c>
      <c r="AD137">
        <f t="shared" si="107"/>
        <v>0</v>
      </c>
      <c r="AE137">
        <f t="shared" si="108"/>
        <v>0</v>
      </c>
      <c r="AF137">
        <f t="shared" si="109"/>
        <v>0</v>
      </c>
      <c r="AG137">
        <f t="shared" si="110"/>
        <v>0</v>
      </c>
      <c r="AH137">
        <f t="shared" si="111"/>
        <v>0</v>
      </c>
      <c r="AI137">
        <f t="shared" si="112"/>
        <v>0</v>
      </c>
      <c r="AJ137">
        <f t="shared" si="113"/>
        <v>0</v>
      </c>
      <c r="AK137">
        <f t="shared" si="114"/>
        <v>0</v>
      </c>
      <c r="AL137">
        <f t="shared" si="115"/>
        <v>0</v>
      </c>
      <c r="AM137">
        <f t="shared" si="116"/>
        <v>0</v>
      </c>
      <c r="AN137">
        <f t="shared" si="117"/>
        <v>0</v>
      </c>
      <c r="AO137">
        <f t="shared" si="118"/>
        <v>0</v>
      </c>
      <c r="AP137">
        <f t="shared" si="119"/>
        <v>0</v>
      </c>
      <c r="AQ137">
        <f t="shared" si="120"/>
        <v>0</v>
      </c>
      <c r="AR137">
        <f t="shared" si="121"/>
        <v>0</v>
      </c>
      <c r="AS137">
        <f t="shared" si="122"/>
        <v>0</v>
      </c>
      <c r="AT137">
        <f t="shared" si="123"/>
        <v>0</v>
      </c>
      <c r="AU137">
        <f t="shared" si="124"/>
        <v>0</v>
      </c>
    </row>
    <row r="138" spans="1:51" ht="20.100000000000001" customHeight="1" x14ac:dyDescent="0.3">
      <c r="A138" s="25" t="s">
        <v>205</v>
      </c>
      <c r="B138" s="23"/>
      <c r="C138" s="24" t="s">
        <v>186</v>
      </c>
      <c r="D138" s="18">
        <v>7.6</v>
      </c>
      <c r="E138" s="18"/>
      <c r="F138" s="18"/>
      <c r="G138" s="18"/>
      <c r="H138" s="18"/>
      <c r="I138" s="18"/>
      <c r="J138" s="18"/>
      <c r="K138" s="18"/>
      <c r="L138" s="18"/>
      <c r="M138" s="24" t="s">
        <v>204</v>
      </c>
      <c r="O138" t="str">
        <f>""</f>
        <v/>
      </c>
      <c r="P138" s="5" t="s">
        <v>117</v>
      </c>
      <c r="Q138">
        <v>1</v>
      </c>
      <c r="R138">
        <f t="shared" si="95"/>
        <v>0</v>
      </c>
      <c r="S138">
        <f t="shared" si="96"/>
        <v>0</v>
      </c>
      <c r="T138">
        <f t="shared" si="97"/>
        <v>0</v>
      </c>
      <c r="U138">
        <f t="shared" si="98"/>
        <v>0</v>
      </c>
      <c r="V138">
        <f t="shared" si="99"/>
        <v>0</v>
      </c>
      <c r="W138">
        <f t="shared" si="100"/>
        <v>0</v>
      </c>
      <c r="X138">
        <f t="shared" si="101"/>
        <v>0</v>
      </c>
      <c r="Y138">
        <f t="shared" si="102"/>
        <v>0</v>
      </c>
      <c r="Z138">
        <f t="shared" si="103"/>
        <v>0</v>
      </c>
      <c r="AA138">
        <f t="shared" si="104"/>
        <v>0</v>
      </c>
      <c r="AB138">
        <f t="shared" si="105"/>
        <v>0</v>
      </c>
      <c r="AC138">
        <f t="shared" si="106"/>
        <v>0</v>
      </c>
      <c r="AD138">
        <f t="shared" si="107"/>
        <v>0</v>
      </c>
      <c r="AE138">
        <f t="shared" si="108"/>
        <v>0</v>
      </c>
      <c r="AF138">
        <f t="shared" si="109"/>
        <v>0</v>
      </c>
      <c r="AG138">
        <f t="shared" si="110"/>
        <v>0</v>
      </c>
      <c r="AH138">
        <f t="shared" si="111"/>
        <v>0</v>
      </c>
      <c r="AI138">
        <f t="shared" si="112"/>
        <v>0</v>
      </c>
      <c r="AJ138">
        <f t="shared" si="113"/>
        <v>0</v>
      </c>
      <c r="AK138">
        <f t="shared" si="114"/>
        <v>0</v>
      </c>
      <c r="AL138">
        <f t="shared" si="115"/>
        <v>0</v>
      </c>
      <c r="AM138">
        <f t="shared" si="116"/>
        <v>0</v>
      </c>
      <c r="AN138">
        <f t="shared" si="117"/>
        <v>0</v>
      </c>
      <c r="AO138">
        <f t="shared" si="118"/>
        <v>0</v>
      </c>
      <c r="AP138">
        <f t="shared" si="119"/>
        <v>0</v>
      </c>
      <c r="AQ138">
        <f t="shared" si="120"/>
        <v>0</v>
      </c>
      <c r="AR138">
        <f t="shared" si="121"/>
        <v>0</v>
      </c>
      <c r="AS138">
        <f t="shared" si="122"/>
        <v>0</v>
      </c>
      <c r="AT138">
        <f t="shared" si="123"/>
        <v>0</v>
      </c>
      <c r="AU138">
        <f t="shared" si="124"/>
        <v>0</v>
      </c>
      <c r="AY138" s="5" t="s">
        <v>178</v>
      </c>
    </row>
    <row r="139" spans="1:51" ht="20.100000000000001" customHeight="1" x14ac:dyDescent="0.3">
      <c r="A139" s="23"/>
      <c r="B139" s="23"/>
      <c r="C139" s="21"/>
      <c r="D139" s="18"/>
      <c r="E139" s="18"/>
      <c r="F139" s="18"/>
      <c r="G139" s="18"/>
      <c r="H139" s="18"/>
      <c r="I139" s="18"/>
      <c r="J139" s="18"/>
      <c r="K139" s="18"/>
      <c r="L139" s="18"/>
      <c r="M139" s="21"/>
    </row>
    <row r="140" spans="1:51" ht="20.100000000000001" customHeight="1" x14ac:dyDescent="0.3">
      <c r="A140" s="23"/>
      <c r="B140" s="23"/>
      <c r="C140" s="21"/>
      <c r="D140" s="18"/>
      <c r="E140" s="18"/>
      <c r="F140" s="18"/>
      <c r="G140" s="18"/>
      <c r="H140" s="18"/>
      <c r="I140" s="18"/>
      <c r="J140" s="18"/>
      <c r="K140" s="18"/>
      <c r="L140" s="18"/>
      <c r="M140" s="21"/>
    </row>
    <row r="141" spans="1:51" ht="20.100000000000001" customHeight="1" x14ac:dyDescent="0.3">
      <c r="A141" s="23"/>
      <c r="B141" s="23"/>
      <c r="C141" s="21"/>
      <c r="D141" s="18"/>
      <c r="E141" s="18"/>
      <c r="F141" s="18"/>
      <c r="G141" s="18"/>
      <c r="H141" s="18"/>
      <c r="I141" s="18"/>
      <c r="J141" s="18"/>
      <c r="K141" s="18"/>
      <c r="L141" s="18"/>
      <c r="M141" s="21"/>
    </row>
    <row r="142" spans="1:51" ht="20.100000000000001" customHeight="1" x14ac:dyDescent="0.3">
      <c r="A142" s="23"/>
      <c r="B142" s="23"/>
      <c r="C142" s="21"/>
      <c r="D142" s="18"/>
      <c r="E142" s="18"/>
      <c r="F142" s="18"/>
      <c r="G142" s="18"/>
      <c r="H142" s="18"/>
      <c r="I142" s="18"/>
      <c r="J142" s="18"/>
      <c r="K142" s="18"/>
      <c r="L142" s="18"/>
      <c r="M142" s="21"/>
    </row>
    <row r="143" spans="1:51" ht="20.100000000000001" customHeight="1" x14ac:dyDescent="0.3">
      <c r="A143" s="23"/>
      <c r="B143" s="23"/>
      <c r="C143" s="21"/>
      <c r="D143" s="18"/>
      <c r="E143" s="18"/>
      <c r="F143" s="18"/>
      <c r="G143" s="18"/>
      <c r="H143" s="18"/>
      <c r="I143" s="18"/>
      <c r="J143" s="18"/>
      <c r="K143" s="18"/>
      <c r="L143" s="18"/>
      <c r="M143" s="21"/>
    </row>
    <row r="144" spans="1:51" ht="20.100000000000001" customHeight="1" x14ac:dyDescent="0.3">
      <c r="A144" s="23"/>
      <c r="B144" s="23"/>
      <c r="C144" s="21"/>
      <c r="D144" s="18"/>
      <c r="E144" s="18"/>
      <c r="F144" s="18"/>
      <c r="G144" s="18"/>
      <c r="H144" s="18"/>
      <c r="I144" s="18"/>
      <c r="J144" s="18"/>
      <c r="K144" s="18"/>
      <c r="L144" s="18"/>
      <c r="M144" s="21"/>
    </row>
    <row r="145" spans="1:51" ht="20.100000000000001" customHeight="1" x14ac:dyDescent="0.3">
      <c r="A145" s="23"/>
      <c r="B145" s="23"/>
      <c r="C145" s="21"/>
      <c r="D145" s="18"/>
      <c r="E145" s="18"/>
      <c r="F145" s="18"/>
      <c r="G145" s="18"/>
      <c r="H145" s="18"/>
      <c r="I145" s="18"/>
      <c r="J145" s="18"/>
      <c r="K145" s="18"/>
      <c r="L145" s="18"/>
      <c r="M145" s="21"/>
    </row>
    <row r="146" spans="1:51" ht="20.100000000000001" customHeight="1" x14ac:dyDescent="0.3">
      <c r="A146" s="23"/>
      <c r="B146" s="23"/>
      <c r="C146" s="21"/>
      <c r="D146" s="18"/>
      <c r="E146" s="18"/>
      <c r="F146" s="18"/>
      <c r="G146" s="18"/>
      <c r="H146" s="18"/>
      <c r="I146" s="18"/>
      <c r="J146" s="18"/>
      <c r="K146" s="18"/>
      <c r="L146" s="18"/>
      <c r="M146" s="21"/>
    </row>
    <row r="147" spans="1:51" ht="20.100000000000001" customHeight="1" x14ac:dyDescent="0.3">
      <c r="A147" s="23"/>
      <c r="B147" s="23"/>
      <c r="C147" s="21"/>
      <c r="D147" s="18"/>
      <c r="E147" s="18"/>
      <c r="F147" s="18"/>
      <c r="G147" s="18"/>
      <c r="H147" s="18"/>
      <c r="I147" s="18"/>
      <c r="J147" s="18"/>
      <c r="K147" s="18"/>
      <c r="L147" s="18"/>
      <c r="M147" s="21"/>
    </row>
    <row r="148" spans="1:51" ht="20.100000000000001" customHeight="1" x14ac:dyDescent="0.3">
      <c r="A148" s="23"/>
      <c r="B148" s="23"/>
      <c r="C148" s="21"/>
      <c r="D148" s="18"/>
      <c r="E148" s="18"/>
      <c r="F148" s="18"/>
      <c r="G148" s="18"/>
      <c r="H148" s="18"/>
      <c r="I148" s="18"/>
      <c r="J148" s="18"/>
      <c r="K148" s="18"/>
      <c r="L148" s="18"/>
      <c r="M148" s="21"/>
    </row>
    <row r="149" spans="1:51" ht="20.100000000000001" customHeight="1" x14ac:dyDescent="0.3">
      <c r="A149" s="23"/>
      <c r="B149" s="23"/>
      <c r="C149" s="21"/>
      <c r="D149" s="18"/>
      <c r="E149" s="18"/>
      <c r="F149" s="18"/>
      <c r="G149" s="18"/>
      <c r="H149" s="18"/>
      <c r="I149" s="18"/>
      <c r="J149" s="18"/>
      <c r="K149" s="18"/>
      <c r="L149" s="18"/>
      <c r="M149" s="21"/>
    </row>
    <row r="150" spans="1:51" ht="20.100000000000001" customHeight="1" x14ac:dyDescent="0.3">
      <c r="A150" s="23"/>
      <c r="B150" s="23"/>
      <c r="C150" s="21"/>
      <c r="D150" s="18"/>
      <c r="E150" s="18"/>
      <c r="F150" s="18"/>
      <c r="G150" s="18"/>
      <c r="H150" s="18"/>
      <c r="I150" s="18"/>
      <c r="J150" s="18"/>
      <c r="K150" s="18"/>
      <c r="L150" s="18"/>
      <c r="M150" s="21"/>
    </row>
    <row r="151" spans="1:51" ht="20.100000000000001" customHeight="1" x14ac:dyDescent="0.3">
      <c r="A151" s="23"/>
      <c r="B151" s="23"/>
      <c r="C151" s="21"/>
      <c r="D151" s="18"/>
      <c r="E151" s="18"/>
      <c r="F151" s="18"/>
      <c r="G151" s="18"/>
      <c r="H151" s="18"/>
      <c r="I151" s="18"/>
      <c r="J151" s="18"/>
      <c r="K151" s="18"/>
      <c r="L151" s="18"/>
      <c r="M151" s="21"/>
    </row>
    <row r="152" spans="1:51" ht="20.100000000000001" customHeight="1" x14ac:dyDescent="0.3">
      <c r="A152" s="23"/>
      <c r="B152" s="23"/>
      <c r="C152" s="21"/>
      <c r="D152" s="18"/>
      <c r="E152" s="18"/>
      <c r="F152" s="18"/>
      <c r="G152" s="18"/>
      <c r="H152" s="18"/>
      <c r="I152" s="18"/>
      <c r="J152" s="18"/>
      <c r="K152" s="18"/>
      <c r="L152" s="18"/>
      <c r="M152" s="21"/>
    </row>
    <row r="153" spans="1:51" ht="20.100000000000001" customHeight="1" x14ac:dyDescent="0.3">
      <c r="A153" s="23"/>
      <c r="B153" s="23"/>
      <c r="C153" s="21"/>
      <c r="D153" s="18"/>
      <c r="E153" s="18"/>
      <c r="F153" s="18"/>
      <c r="G153" s="18"/>
      <c r="H153" s="18"/>
      <c r="I153" s="18"/>
      <c r="J153" s="18"/>
      <c r="K153" s="18"/>
      <c r="L153" s="18"/>
      <c r="M153" s="21"/>
    </row>
    <row r="154" spans="1:51" ht="20.100000000000001" customHeight="1" x14ac:dyDescent="0.3">
      <c r="A154" s="23"/>
      <c r="B154" s="23"/>
      <c r="C154" s="21"/>
      <c r="D154" s="18"/>
      <c r="E154" s="18"/>
      <c r="F154" s="18"/>
      <c r="G154" s="18"/>
      <c r="H154" s="18"/>
      <c r="I154" s="18"/>
      <c r="J154" s="18"/>
      <c r="K154" s="18"/>
      <c r="L154" s="18"/>
      <c r="M154" s="21"/>
    </row>
    <row r="155" spans="1:51" ht="20.100000000000001" customHeight="1" x14ac:dyDescent="0.3">
      <c r="A155" s="23"/>
      <c r="B155" s="23"/>
      <c r="C155" s="21"/>
      <c r="D155" s="18"/>
      <c r="E155" s="18"/>
      <c r="F155" s="18"/>
      <c r="G155" s="18"/>
      <c r="H155" s="18"/>
      <c r="I155" s="18"/>
      <c r="J155" s="18"/>
      <c r="K155" s="18"/>
      <c r="L155" s="18"/>
      <c r="M155" s="21"/>
    </row>
    <row r="156" spans="1:51" ht="20.100000000000001" customHeight="1" x14ac:dyDescent="0.3">
      <c r="A156" s="23"/>
      <c r="B156" s="23"/>
      <c r="C156" s="21"/>
      <c r="D156" s="18"/>
      <c r="E156" s="18"/>
      <c r="F156" s="18"/>
      <c r="G156" s="18"/>
      <c r="H156" s="18"/>
      <c r="I156" s="18"/>
      <c r="J156" s="18"/>
      <c r="K156" s="18"/>
      <c r="L156" s="18"/>
      <c r="M156" s="21"/>
    </row>
    <row r="157" spans="1:51" ht="20.100000000000001" customHeight="1" x14ac:dyDescent="0.3">
      <c r="A157" s="23"/>
      <c r="B157" s="23"/>
      <c r="C157" s="21"/>
      <c r="D157" s="18"/>
      <c r="E157" s="18"/>
      <c r="F157" s="18"/>
      <c r="G157" s="18"/>
      <c r="H157" s="18"/>
      <c r="I157" s="18"/>
      <c r="J157" s="18"/>
      <c r="K157" s="18"/>
      <c r="L157" s="18"/>
      <c r="M157" s="21"/>
    </row>
    <row r="158" spans="1:51" ht="20.100000000000001" customHeight="1" x14ac:dyDescent="0.3">
      <c r="A158" s="20" t="s">
        <v>68</v>
      </c>
      <c r="B158" s="6"/>
      <c r="C158" s="17"/>
      <c r="D158" s="4"/>
      <c r="E158" s="18"/>
      <c r="F158" s="4">
        <f>ROUNDDOWN(SUMIF(Q116:Q157, "1", F116:F157), 0)</f>
        <v>0</v>
      </c>
      <c r="G158" s="18"/>
      <c r="H158" s="4">
        <f>ROUNDDOWN(SUMIF(Q116:Q157, "1", H116:H157), 0)</f>
        <v>0</v>
      </c>
      <c r="I158" s="18"/>
      <c r="J158" s="4">
        <f>ROUNDDOWN(SUMIF(Q116:Q157, "1", J116:J157), 0)</f>
        <v>0</v>
      </c>
      <c r="K158" s="18"/>
      <c r="L158" s="4">
        <f>F158+H158+J158</f>
        <v>0</v>
      </c>
      <c r="M158" s="17"/>
      <c r="R158">
        <f t="shared" ref="R158:AY158" si="125">ROUNDDOWN(SUM(R116:R138), 0)</f>
        <v>0</v>
      </c>
      <c r="S158">
        <f t="shared" si="125"/>
        <v>0</v>
      </c>
      <c r="T158">
        <f t="shared" si="125"/>
        <v>0</v>
      </c>
      <c r="U158">
        <f t="shared" si="125"/>
        <v>0</v>
      </c>
      <c r="V158">
        <f t="shared" si="125"/>
        <v>0</v>
      </c>
      <c r="W158">
        <f t="shared" si="125"/>
        <v>0</v>
      </c>
      <c r="X158">
        <f t="shared" si="125"/>
        <v>0</v>
      </c>
      <c r="Y158">
        <f t="shared" si="125"/>
        <v>0</v>
      </c>
      <c r="Z158">
        <f t="shared" si="125"/>
        <v>0</v>
      </c>
      <c r="AA158">
        <f t="shared" si="125"/>
        <v>0</v>
      </c>
      <c r="AB158">
        <f t="shared" si="125"/>
        <v>0</v>
      </c>
      <c r="AC158">
        <f t="shared" si="125"/>
        <v>0</v>
      </c>
      <c r="AD158">
        <f t="shared" si="125"/>
        <v>0</v>
      </c>
      <c r="AE158">
        <f t="shared" si="125"/>
        <v>0</v>
      </c>
      <c r="AF158">
        <f t="shared" si="125"/>
        <v>0</v>
      </c>
      <c r="AG158">
        <f t="shared" si="125"/>
        <v>0</v>
      </c>
      <c r="AH158">
        <f t="shared" si="125"/>
        <v>0</v>
      </c>
      <c r="AI158">
        <f t="shared" si="125"/>
        <v>0</v>
      </c>
      <c r="AJ158">
        <f t="shared" si="125"/>
        <v>0</v>
      </c>
      <c r="AK158">
        <f t="shared" si="125"/>
        <v>0</v>
      </c>
      <c r="AL158">
        <f t="shared" si="125"/>
        <v>0</v>
      </c>
      <c r="AM158">
        <f t="shared" si="125"/>
        <v>0</v>
      </c>
      <c r="AN158">
        <f t="shared" si="125"/>
        <v>0</v>
      </c>
      <c r="AO158">
        <f t="shared" si="125"/>
        <v>0</v>
      </c>
      <c r="AP158">
        <f t="shared" si="125"/>
        <v>0</v>
      </c>
      <c r="AQ158">
        <f t="shared" si="125"/>
        <v>0</v>
      </c>
      <c r="AR158">
        <f t="shared" si="125"/>
        <v>0</v>
      </c>
      <c r="AS158">
        <f t="shared" si="125"/>
        <v>0</v>
      </c>
      <c r="AT158">
        <f t="shared" si="125"/>
        <v>0</v>
      </c>
      <c r="AU158">
        <f t="shared" si="125"/>
        <v>0</v>
      </c>
      <c r="AV158">
        <f t="shared" si="125"/>
        <v>0</v>
      </c>
      <c r="AW158">
        <f t="shared" si="125"/>
        <v>0</v>
      </c>
      <c r="AX158">
        <f t="shared" si="125"/>
        <v>0</v>
      </c>
      <c r="AY158">
        <f t="shared" si="125"/>
        <v>0</v>
      </c>
    </row>
    <row r="159" spans="1:51" ht="20.100000000000001" customHeight="1" x14ac:dyDescent="0.3">
      <c r="A159" s="67" t="s">
        <v>203</v>
      </c>
      <c r="B159" s="68"/>
      <c r="C159" s="68"/>
      <c r="D159" s="69"/>
      <c r="E159" s="69"/>
      <c r="F159" s="69"/>
      <c r="G159" s="69"/>
      <c r="H159" s="69"/>
      <c r="I159" s="69"/>
      <c r="J159" s="69"/>
      <c r="K159" s="69"/>
      <c r="L159" s="69"/>
      <c r="M159" s="68"/>
    </row>
    <row r="160" spans="1:51" ht="20.100000000000001" customHeight="1" x14ac:dyDescent="0.3">
      <c r="A160" s="25" t="s">
        <v>197</v>
      </c>
      <c r="B160" s="25" t="s">
        <v>202</v>
      </c>
      <c r="C160" s="24" t="s">
        <v>170</v>
      </c>
      <c r="D160" s="18">
        <v>0.9</v>
      </c>
      <c r="E160" s="18"/>
      <c r="F160" s="18"/>
      <c r="G160" s="18"/>
      <c r="H160" s="18"/>
      <c r="I160" s="18"/>
      <c r="J160" s="18"/>
      <c r="K160" s="18"/>
      <c r="L160" s="18"/>
      <c r="M160" s="24" t="s">
        <v>201</v>
      </c>
      <c r="O160" t="str">
        <f>""</f>
        <v/>
      </c>
      <c r="P160" s="5" t="s">
        <v>117</v>
      </c>
      <c r="Q160">
        <v>1</v>
      </c>
      <c r="R160">
        <f t="shared" ref="R160:R170" si="126">IF(P160="기계경비", J160, 0)</f>
        <v>0</v>
      </c>
      <c r="S160">
        <f t="shared" ref="S160:S170" si="127">IF(P160="운반비", L160, 0)</f>
        <v>0</v>
      </c>
      <c r="T160">
        <f t="shared" ref="T160:T170" si="128">IF(P160="작업부산물", F160, 0)</f>
        <v>0</v>
      </c>
      <c r="U160">
        <f t="shared" ref="U160:U170" si="129">IF(P160="관급", F160, 0)</f>
        <v>0</v>
      </c>
      <c r="V160">
        <f t="shared" ref="V160:V170" si="130">IF(P160="외주비", J160, 0)</f>
        <v>0</v>
      </c>
      <c r="W160">
        <f t="shared" ref="W160:W170" si="131">IF(P160="장비비", J160, 0)</f>
        <v>0</v>
      </c>
      <c r="X160">
        <f t="shared" ref="X160:X170" si="132">IF(P160="폐기물처리비", L160, 0)</f>
        <v>0</v>
      </c>
      <c r="Y160">
        <f t="shared" ref="Y160:Y170" si="133">IF(P160="가설비", J160, 0)</f>
        <v>0</v>
      </c>
      <c r="Z160">
        <f t="shared" ref="Z160:Z170" si="134">IF(P160="잡비제외분", F160, 0)</f>
        <v>0</v>
      </c>
      <c r="AA160">
        <f t="shared" ref="AA160:AA170" si="135">IF(P160="사급자재대", L160, 0)</f>
        <v>0</v>
      </c>
      <c r="AB160">
        <f t="shared" ref="AB160:AB170" si="136">IF(P160="관급자재대", L160, 0)</f>
        <v>0</v>
      </c>
      <c r="AC160">
        <f t="shared" ref="AC160:AC170" si="137">IF(P160="관급자관급", L160, 0)</f>
        <v>0</v>
      </c>
      <c r="AD160">
        <f t="shared" ref="AD160:AD170" si="138">IF(P160="품질시험비", L160, 0)</f>
        <v>0</v>
      </c>
      <c r="AE160">
        <f t="shared" ref="AE160:AE170" si="139">IF(P160="수도광열비", L160, 0)</f>
        <v>0</v>
      </c>
      <c r="AF160">
        <f t="shared" ref="AF160:AF170" si="140">IF(P160="공기중석면농도측정비", L160, 0)</f>
        <v>0</v>
      </c>
      <c r="AG160">
        <f t="shared" ref="AG160:AG170" si="141">IF(P160="사용자항목5", L160, 0)</f>
        <v>0</v>
      </c>
      <c r="AH160">
        <f t="shared" ref="AH160:AH170" si="142">IF(P160="사용자항목6", L160, 0)</f>
        <v>0</v>
      </c>
      <c r="AI160">
        <f t="shared" ref="AI160:AI170" si="143">IF(P160="사용자항목7", L160, 0)</f>
        <v>0</v>
      </c>
      <c r="AJ160">
        <f t="shared" ref="AJ160:AJ170" si="144">IF(P160="관급자재대2", L160, 0)</f>
        <v>0</v>
      </c>
      <c r="AK160">
        <f t="shared" ref="AK160:AK170" si="145">IF(P160="작업부산물", L160, 0)</f>
        <v>0</v>
      </c>
      <c r="AL160">
        <f t="shared" ref="AL160:AL170" si="146">IF(P160="해체계획비및검토비", L160, 0)</f>
        <v>0</v>
      </c>
      <c r="AM160">
        <f t="shared" ref="AM160:AM170" si="147">IF(P160="사용자항목11", L160, 0)</f>
        <v>0</v>
      </c>
      <c r="AN160">
        <f t="shared" ref="AN160:AN170" si="148">IF(P160="사용자항목12", L160, 0)</f>
        <v>0</v>
      </c>
      <c r="AO160">
        <f t="shared" ref="AO160:AO170" si="149">IF(P160="사용자항목13", L160, 0)</f>
        <v>0</v>
      </c>
      <c r="AP160">
        <f t="shared" ref="AP160:AP170" si="150">IF(P160="사용자항목14", L160, 0)</f>
        <v>0</v>
      </c>
      <c r="AQ160">
        <f t="shared" ref="AQ160:AQ170" si="151">IF(P160="사용자항목15", L160, 0)</f>
        <v>0</v>
      </c>
      <c r="AR160">
        <f t="shared" ref="AR160:AR170" si="152">IF(P160="사용자항목16", L160, 0)</f>
        <v>0</v>
      </c>
      <c r="AS160">
        <f t="shared" ref="AS160:AS170" si="153">IF(P160="사용자항목17", L160, 0)</f>
        <v>0</v>
      </c>
      <c r="AT160">
        <f t="shared" ref="AT160:AT170" si="154">IF(P160="사용자항목18", L160, 0)</f>
        <v>0</v>
      </c>
      <c r="AU160">
        <f t="shared" ref="AU160:AU170" si="155">IF(P160="사용자항목19", L160, 0)</f>
        <v>0</v>
      </c>
    </row>
    <row r="161" spans="1:51" ht="20.100000000000001" customHeight="1" x14ac:dyDescent="0.3">
      <c r="A161" s="25" t="s">
        <v>200</v>
      </c>
      <c r="B161" s="25" t="s">
        <v>199</v>
      </c>
      <c r="C161" s="24" t="s">
        <v>170</v>
      </c>
      <c r="D161" s="18">
        <v>39.4</v>
      </c>
      <c r="E161" s="18"/>
      <c r="F161" s="18"/>
      <c r="G161" s="18"/>
      <c r="H161" s="18"/>
      <c r="I161" s="18"/>
      <c r="J161" s="18"/>
      <c r="K161" s="18"/>
      <c r="L161" s="18"/>
      <c r="M161" s="24" t="s">
        <v>198</v>
      </c>
      <c r="O161" t="str">
        <f>""</f>
        <v/>
      </c>
      <c r="P161" s="5" t="s">
        <v>117</v>
      </c>
      <c r="Q161">
        <v>1</v>
      </c>
      <c r="R161">
        <f t="shared" si="126"/>
        <v>0</v>
      </c>
      <c r="S161">
        <f t="shared" si="127"/>
        <v>0</v>
      </c>
      <c r="T161">
        <f t="shared" si="128"/>
        <v>0</v>
      </c>
      <c r="U161">
        <f t="shared" si="129"/>
        <v>0</v>
      </c>
      <c r="V161">
        <f t="shared" si="130"/>
        <v>0</v>
      </c>
      <c r="W161">
        <f t="shared" si="131"/>
        <v>0</v>
      </c>
      <c r="X161">
        <f t="shared" si="132"/>
        <v>0</v>
      </c>
      <c r="Y161">
        <f t="shared" si="133"/>
        <v>0</v>
      </c>
      <c r="Z161">
        <f t="shared" si="134"/>
        <v>0</v>
      </c>
      <c r="AA161">
        <f t="shared" si="135"/>
        <v>0</v>
      </c>
      <c r="AB161">
        <f t="shared" si="136"/>
        <v>0</v>
      </c>
      <c r="AC161">
        <f t="shared" si="137"/>
        <v>0</v>
      </c>
      <c r="AD161">
        <f t="shared" si="138"/>
        <v>0</v>
      </c>
      <c r="AE161">
        <f t="shared" si="139"/>
        <v>0</v>
      </c>
      <c r="AF161">
        <f t="shared" si="140"/>
        <v>0</v>
      </c>
      <c r="AG161">
        <f t="shared" si="141"/>
        <v>0</v>
      </c>
      <c r="AH161">
        <f t="shared" si="142"/>
        <v>0</v>
      </c>
      <c r="AI161">
        <f t="shared" si="143"/>
        <v>0</v>
      </c>
      <c r="AJ161">
        <f t="shared" si="144"/>
        <v>0</v>
      </c>
      <c r="AK161">
        <f t="shared" si="145"/>
        <v>0</v>
      </c>
      <c r="AL161">
        <f t="shared" si="146"/>
        <v>0</v>
      </c>
      <c r="AM161">
        <f t="shared" si="147"/>
        <v>0</v>
      </c>
      <c r="AN161">
        <f t="shared" si="148"/>
        <v>0</v>
      </c>
      <c r="AO161">
        <f t="shared" si="149"/>
        <v>0</v>
      </c>
      <c r="AP161">
        <f t="shared" si="150"/>
        <v>0</v>
      </c>
      <c r="AQ161">
        <f t="shared" si="151"/>
        <v>0</v>
      </c>
      <c r="AR161">
        <f t="shared" si="152"/>
        <v>0</v>
      </c>
      <c r="AS161">
        <f t="shared" si="153"/>
        <v>0</v>
      </c>
      <c r="AT161">
        <f t="shared" si="154"/>
        <v>0</v>
      </c>
      <c r="AU161">
        <f t="shared" si="155"/>
        <v>0</v>
      </c>
    </row>
    <row r="162" spans="1:51" ht="20.100000000000001" customHeight="1" x14ac:dyDescent="0.3">
      <c r="A162" s="25" t="s">
        <v>197</v>
      </c>
      <c r="B162" s="25" t="s">
        <v>196</v>
      </c>
      <c r="C162" s="24" t="s">
        <v>170</v>
      </c>
      <c r="D162" s="18">
        <v>1.3</v>
      </c>
      <c r="E162" s="18"/>
      <c r="F162" s="18"/>
      <c r="G162" s="18"/>
      <c r="H162" s="18"/>
      <c r="I162" s="18"/>
      <c r="J162" s="18"/>
      <c r="K162" s="18"/>
      <c r="L162" s="18"/>
      <c r="M162" s="24" t="s">
        <v>195</v>
      </c>
      <c r="O162" t="str">
        <f>""</f>
        <v/>
      </c>
      <c r="P162" s="5" t="s">
        <v>117</v>
      </c>
      <c r="Q162">
        <v>1</v>
      </c>
      <c r="R162">
        <f t="shared" si="126"/>
        <v>0</v>
      </c>
      <c r="S162">
        <f t="shared" si="127"/>
        <v>0</v>
      </c>
      <c r="T162">
        <f t="shared" si="128"/>
        <v>0</v>
      </c>
      <c r="U162">
        <f t="shared" si="129"/>
        <v>0</v>
      </c>
      <c r="V162">
        <f t="shared" si="130"/>
        <v>0</v>
      </c>
      <c r="W162">
        <f t="shared" si="131"/>
        <v>0</v>
      </c>
      <c r="X162">
        <f t="shared" si="132"/>
        <v>0</v>
      </c>
      <c r="Y162">
        <f t="shared" si="133"/>
        <v>0</v>
      </c>
      <c r="Z162">
        <f t="shared" si="134"/>
        <v>0</v>
      </c>
      <c r="AA162">
        <f t="shared" si="135"/>
        <v>0</v>
      </c>
      <c r="AB162">
        <f t="shared" si="136"/>
        <v>0</v>
      </c>
      <c r="AC162">
        <f t="shared" si="137"/>
        <v>0</v>
      </c>
      <c r="AD162">
        <f t="shared" si="138"/>
        <v>0</v>
      </c>
      <c r="AE162">
        <f t="shared" si="139"/>
        <v>0</v>
      </c>
      <c r="AF162">
        <f t="shared" si="140"/>
        <v>0</v>
      </c>
      <c r="AG162">
        <f t="shared" si="141"/>
        <v>0</v>
      </c>
      <c r="AH162">
        <f t="shared" si="142"/>
        <v>0</v>
      </c>
      <c r="AI162">
        <f t="shared" si="143"/>
        <v>0</v>
      </c>
      <c r="AJ162">
        <f t="shared" si="144"/>
        <v>0</v>
      </c>
      <c r="AK162">
        <f t="shared" si="145"/>
        <v>0</v>
      </c>
      <c r="AL162">
        <f t="shared" si="146"/>
        <v>0</v>
      </c>
      <c r="AM162">
        <f t="shared" si="147"/>
        <v>0</v>
      </c>
      <c r="AN162">
        <f t="shared" si="148"/>
        <v>0</v>
      </c>
      <c r="AO162">
        <f t="shared" si="149"/>
        <v>0</v>
      </c>
      <c r="AP162">
        <f t="shared" si="150"/>
        <v>0</v>
      </c>
      <c r="AQ162">
        <f t="shared" si="151"/>
        <v>0</v>
      </c>
      <c r="AR162">
        <f t="shared" si="152"/>
        <v>0</v>
      </c>
      <c r="AS162">
        <f t="shared" si="153"/>
        <v>0</v>
      </c>
      <c r="AT162">
        <f t="shared" si="154"/>
        <v>0</v>
      </c>
      <c r="AU162">
        <f t="shared" si="155"/>
        <v>0</v>
      </c>
    </row>
    <row r="163" spans="1:51" ht="20.100000000000001" customHeight="1" x14ac:dyDescent="0.3">
      <c r="A163" s="25" t="s">
        <v>194</v>
      </c>
      <c r="B163" s="25" t="s">
        <v>193</v>
      </c>
      <c r="C163" s="24" t="s">
        <v>170</v>
      </c>
      <c r="D163" s="18">
        <v>39.4</v>
      </c>
      <c r="E163" s="18"/>
      <c r="F163" s="18"/>
      <c r="G163" s="18"/>
      <c r="H163" s="18"/>
      <c r="I163" s="18"/>
      <c r="J163" s="18"/>
      <c r="K163" s="18"/>
      <c r="L163" s="18"/>
      <c r="M163" s="24" t="s">
        <v>192</v>
      </c>
      <c r="O163" t="str">
        <f>""</f>
        <v/>
      </c>
      <c r="P163" s="5" t="s">
        <v>117</v>
      </c>
      <c r="Q163">
        <v>1</v>
      </c>
      <c r="R163">
        <f t="shared" si="126"/>
        <v>0</v>
      </c>
      <c r="S163">
        <f t="shared" si="127"/>
        <v>0</v>
      </c>
      <c r="T163">
        <f t="shared" si="128"/>
        <v>0</v>
      </c>
      <c r="U163">
        <f t="shared" si="129"/>
        <v>0</v>
      </c>
      <c r="V163">
        <f t="shared" si="130"/>
        <v>0</v>
      </c>
      <c r="W163">
        <f t="shared" si="131"/>
        <v>0</v>
      </c>
      <c r="X163">
        <f t="shared" si="132"/>
        <v>0</v>
      </c>
      <c r="Y163">
        <f t="shared" si="133"/>
        <v>0</v>
      </c>
      <c r="Z163">
        <f t="shared" si="134"/>
        <v>0</v>
      </c>
      <c r="AA163">
        <f t="shared" si="135"/>
        <v>0</v>
      </c>
      <c r="AB163">
        <f t="shared" si="136"/>
        <v>0</v>
      </c>
      <c r="AC163">
        <f t="shared" si="137"/>
        <v>0</v>
      </c>
      <c r="AD163">
        <f t="shared" si="138"/>
        <v>0</v>
      </c>
      <c r="AE163">
        <f t="shared" si="139"/>
        <v>0</v>
      </c>
      <c r="AF163">
        <f t="shared" si="140"/>
        <v>0</v>
      </c>
      <c r="AG163">
        <f t="shared" si="141"/>
        <v>0</v>
      </c>
      <c r="AH163">
        <f t="shared" si="142"/>
        <v>0</v>
      </c>
      <c r="AI163">
        <f t="shared" si="143"/>
        <v>0</v>
      </c>
      <c r="AJ163">
        <f t="shared" si="144"/>
        <v>0</v>
      </c>
      <c r="AK163">
        <f t="shared" si="145"/>
        <v>0</v>
      </c>
      <c r="AL163">
        <f t="shared" si="146"/>
        <v>0</v>
      </c>
      <c r="AM163">
        <f t="shared" si="147"/>
        <v>0</v>
      </c>
      <c r="AN163">
        <f t="shared" si="148"/>
        <v>0</v>
      </c>
      <c r="AO163">
        <f t="shared" si="149"/>
        <v>0</v>
      </c>
      <c r="AP163">
        <f t="shared" si="150"/>
        <v>0</v>
      </c>
      <c r="AQ163">
        <f t="shared" si="151"/>
        <v>0</v>
      </c>
      <c r="AR163">
        <f t="shared" si="152"/>
        <v>0</v>
      </c>
      <c r="AS163">
        <f t="shared" si="153"/>
        <v>0</v>
      </c>
      <c r="AT163">
        <f t="shared" si="154"/>
        <v>0</v>
      </c>
      <c r="AU163">
        <f t="shared" si="155"/>
        <v>0</v>
      </c>
    </row>
    <row r="164" spans="1:51" ht="20.100000000000001" customHeight="1" x14ac:dyDescent="0.3">
      <c r="A164" s="25" t="s">
        <v>191</v>
      </c>
      <c r="B164" s="25" t="s">
        <v>190</v>
      </c>
      <c r="C164" s="24" t="s">
        <v>170</v>
      </c>
      <c r="D164" s="18">
        <v>39.4</v>
      </c>
      <c r="E164" s="18"/>
      <c r="F164" s="18"/>
      <c r="G164" s="18"/>
      <c r="H164" s="18"/>
      <c r="I164" s="18"/>
      <c r="J164" s="18"/>
      <c r="K164" s="18"/>
      <c r="L164" s="18"/>
      <c r="M164" s="24" t="s">
        <v>189</v>
      </c>
      <c r="O164" t="str">
        <f>""</f>
        <v/>
      </c>
      <c r="P164" s="5" t="s">
        <v>117</v>
      </c>
      <c r="Q164">
        <v>1</v>
      </c>
      <c r="R164">
        <f t="shared" si="126"/>
        <v>0</v>
      </c>
      <c r="S164">
        <f t="shared" si="127"/>
        <v>0</v>
      </c>
      <c r="T164">
        <f t="shared" si="128"/>
        <v>0</v>
      </c>
      <c r="U164">
        <f t="shared" si="129"/>
        <v>0</v>
      </c>
      <c r="V164">
        <f t="shared" si="130"/>
        <v>0</v>
      </c>
      <c r="W164">
        <f t="shared" si="131"/>
        <v>0</v>
      </c>
      <c r="X164">
        <f t="shared" si="132"/>
        <v>0</v>
      </c>
      <c r="Y164">
        <f t="shared" si="133"/>
        <v>0</v>
      </c>
      <c r="Z164">
        <f t="shared" si="134"/>
        <v>0</v>
      </c>
      <c r="AA164">
        <f t="shared" si="135"/>
        <v>0</v>
      </c>
      <c r="AB164">
        <f t="shared" si="136"/>
        <v>0</v>
      </c>
      <c r="AC164">
        <f t="shared" si="137"/>
        <v>0</v>
      </c>
      <c r="AD164">
        <f t="shared" si="138"/>
        <v>0</v>
      </c>
      <c r="AE164">
        <f t="shared" si="139"/>
        <v>0</v>
      </c>
      <c r="AF164">
        <f t="shared" si="140"/>
        <v>0</v>
      </c>
      <c r="AG164">
        <f t="shared" si="141"/>
        <v>0</v>
      </c>
      <c r="AH164">
        <f t="shared" si="142"/>
        <v>0</v>
      </c>
      <c r="AI164">
        <f t="shared" si="143"/>
        <v>0</v>
      </c>
      <c r="AJ164">
        <f t="shared" si="144"/>
        <v>0</v>
      </c>
      <c r="AK164">
        <f t="shared" si="145"/>
        <v>0</v>
      </c>
      <c r="AL164">
        <f t="shared" si="146"/>
        <v>0</v>
      </c>
      <c r="AM164">
        <f t="shared" si="147"/>
        <v>0</v>
      </c>
      <c r="AN164">
        <f t="shared" si="148"/>
        <v>0</v>
      </c>
      <c r="AO164">
        <f t="shared" si="149"/>
        <v>0</v>
      </c>
      <c r="AP164">
        <f t="shared" si="150"/>
        <v>0</v>
      </c>
      <c r="AQ164">
        <f t="shared" si="151"/>
        <v>0</v>
      </c>
      <c r="AR164">
        <f t="shared" si="152"/>
        <v>0</v>
      </c>
      <c r="AS164">
        <f t="shared" si="153"/>
        <v>0</v>
      </c>
      <c r="AT164">
        <f t="shared" si="154"/>
        <v>0</v>
      </c>
      <c r="AU164">
        <f t="shared" si="155"/>
        <v>0</v>
      </c>
      <c r="AY164" s="5" t="s">
        <v>178</v>
      </c>
    </row>
    <row r="165" spans="1:51" ht="20.100000000000001" customHeight="1" x14ac:dyDescent="0.3">
      <c r="A165" s="25" t="s">
        <v>188</v>
      </c>
      <c r="B165" s="25" t="s">
        <v>187</v>
      </c>
      <c r="C165" s="24" t="s">
        <v>186</v>
      </c>
      <c r="D165" s="18">
        <v>34.1</v>
      </c>
      <c r="E165" s="18"/>
      <c r="F165" s="18"/>
      <c r="G165" s="18"/>
      <c r="H165" s="18"/>
      <c r="I165" s="18"/>
      <c r="J165" s="18"/>
      <c r="K165" s="18"/>
      <c r="L165" s="18"/>
      <c r="M165" s="24" t="s">
        <v>185</v>
      </c>
      <c r="O165" t="str">
        <f>""</f>
        <v/>
      </c>
      <c r="P165" s="5" t="s">
        <v>117</v>
      </c>
      <c r="Q165">
        <v>1</v>
      </c>
      <c r="R165">
        <f t="shared" si="126"/>
        <v>0</v>
      </c>
      <c r="S165">
        <f t="shared" si="127"/>
        <v>0</v>
      </c>
      <c r="T165">
        <f t="shared" si="128"/>
        <v>0</v>
      </c>
      <c r="U165">
        <f t="shared" si="129"/>
        <v>0</v>
      </c>
      <c r="V165">
        <f t="shared" si="130"/>
        <v>0</v>
      </c>
      <c r="W165">
        <f t="shared" si="131"/>
        <v>0</v>
      </c>
      <c r="X165">
        <f t="shared" si="132"/>
        <v>0</v>
      </c>
      <c r="Y165">
        <f t="shared" si="133"/>
        <v>0</v>
      </c>
      <c r="Z165">
        <f t="shared" si="134"/>
        <v>0</v>
      </c>
      <c r="AA165">
        <f t="shared" si="135"/>
        <v>0</v>
      </c>
      <c r="AB165">
        <f t="shared" si="136"/>
        <v>0</v>
      </c>
      <c r="AC165">
        <f t="shared" si="137"/>
        <v>0</v>
      </c>
      <c r="AD165">
        <f t="shared" si="138"/>
        <v>0</v>
      </c>
      <c r="AE165">
        <f t="shared" si="139"/>
        <v>0</v>
      </c>
      <c r="AF165">
        <f t="shared" si="140"/>
        <v>0</v>
      </c>
      <c r="AG165">
        <f t="shared" si="141"/>
        <v>0</v>
      </c>
      <c r="AH165">
        <f t="shared" si="142"/>
        <v>0</v>
      </c>
      <c r="AI165">
        <f t="shared" si="143"/>
        <v>0</v>
      </c>
      <c r="AJ165">
        <f t="shared" si="144"/>
        <v>0</v>
      </c>
      <c r="AK165">
        <f t="shared" si="145"/>
        <v>0</v>
      </c>
      <c r="AL165">
        <f t="shared" si="146"/>
        <v>0</v>
      </c>
      <c r="AM165">
        <f t="shared" si="147"/>
        <v>0</v>
      </c>
      <c r="AN165">
        <f t="shared" si="148"/>
        <v>0</v>
      </c>
      <c r="AO165">
        <f t="shared" si="149"/>
        <v>0</v>
      </c>
      <c r="AP165">
        <f t="shared" si="150"/>
        <v>0</v>
      </c>
      <c r="AQ165">
        <f t="shared" si="151"/>
        <v>0</v>
      </c>
      <c r="AR165">
        <f t="shared" si="152"/>
        <v>0</v>
      </c>
      <c r="AS165">
        <f t="shared" si="153"/>
        <v>0</v>
      </c>
      <c r="AT165">
        <f t="shared" si="154"/>
        <v>0</v>
      </c>
      <c r="AU165">
        <f t="shared" si="155"/>
        <v>0</v>
      </c>
    </row>
    <row r="166" spans="1:51" ht="20.100000000000001" customHeight="1" x14ac:dyDescent="0.3">
      <c r="A166" s="25" t="s">
        <v>184</v>
      </c>
      <c r="B166" s="25" t="s">
        <v>183</v>
      </c>
      <c r="C166" s="24" t="s">
        <v>170</v>
      </c>
      <c r="D166" s="18">
        <v>11.1</v>
      </c>
      <c r="E166" s="18"/>
      <c r="F166" s="18"/>
      <c r="G166" s="18"/>
      <c r="H166" s="18"/>
      <c r="I166" s="18"/>
      <c r="J166" s="18"/>
      <c r="K166" s="18"/>
      <c r="L166" s="18"/>
      <c r="M166" s="24" t="s">
        <v>182</v>
      </c>
      <c r="O166" t="str">
        <f>""</f>
        <v/>
      </c>
      <c r="P166" s="5" t="s">
        <v>117</v>
      </c>
      <c r="Q166">
        <v>1</v>
      </c>
      <c r="R166">
        <f t="shared" si="126"/>
        <v>0</v>
      </c>
      <c r="S166">
        <f t="shared" si="127"/>
        <v>0</v>
      </c>
      <c r="T166">
        <f t="shared" si="128"/>
        <v>0</v>
      </c>
      <c r="U166">
        <f t="shared" si="129"/>
        <v>0</v>
      </c>
      <c r="V166">
        <f t="shared" si="130"/>
        <v>0</v>
      </c>
      <c r="W166">
        <f t="shared" si="131"/>
        <v>0</v>
      </c>
      <c r="X166">
        <f t="shared" si="132"/>
        <v>0</v>
      </c>
      <c r="Y166">
        <f t="shared" si="133"/>
        <v>0</v>
      </c>
      <c r="Z166">
        <f t="shared" si="134"/>
        <v>0</v>
      </c>
      <c r="AA166">
        <f t="shared" si="135"/>
        <v>0</v>
      </c>
      <c r="AB166">
        <f t="shared" si="136"/>
        <v>0</v>
      </c>
      <c r="AC166">
        <f t="shared" si="137"/>
        <v>0</v>
      </c>
      <c r="AD166">
        <f t="shared" si="138"/>
        <v>0</v>
      </c>
      <c r="AE166">
        <f t="shared" si="139"/>
        <v>0</v>
      </c>
      <c r="AF166">
        <f t="shared" si="140"/>
        <v>0</v>
      </c>
      <c r="AG166">
        <f t="shared" si="141"/>
        <v>0</v>
      </c>
      <c r="AH166">
        <f t="shared" si="142"/>
        <v>0</v>
      </c>
      <c r="AI166">
        <f t="shared" si="143"/>
        <v>0</v>
      </c>
      <c r="AJ166">
        <f t="shared" si="144"/>
        <v>0</v>
      </c>
      <c r="AK166">
        <f t="shared" si="145"/>
        <v>0</v>
      </c>
      <c r="AL166">
        <f t="shared" si="146"/>
        <v>0</v>
      </c>
      <c r="AM166">
        <f t="shared" si="147"/>
        <v>0</v>
      </c>
      <c r="AN166">
        <f t="shared" si="148"/>
        <v>0</v>
      </c>
      <c r="AO166">
        <f t="shared" si="149"/>
        <v>0</v>
      </c>
      <c r="AP166">
        <f t="shared" si="150"/>
        <v>0</v>
      </c>
      <c r="AQ166">
        <f t="shared" si="151"/>
        <v>0</v>
      </c>
      <c r="AR166">
        <f t="shared" si="152"/>
        <v>0</v>
      </c>
      <c r="AS166">
        <f t="shared" si="153"/>
        <v>0</v>
      </c>
      <c r="AT166">
        <f t="shared" si="154"/>
        <v>0</v>
      </c>
      <c r="AU166">
        <f t="shared" si="155"/>
        <v>0</v>
      </c>
    </row>
    <row r="167" spans="1:51" ht="20.100000000000001" customHeight="1" x14ac:dyDescent="0.3">
      <c r="A167" s="25" t="s">
        <v>181</v>
      </c>
      <c r="B167" s="25" t="s">
        <v>180</v>
      </c>
      <c r="C167" s="24" t="s">
        <v>170</v>
      </c>
      <c r="D167" s="18">
        <v>11.1</v>
      </c>
      <c r="E167" s="18"/>
      <c r="F167" s="18"/>
      <c r="G167" s="18"/>
      <c r="H167" s="18"/>
      <c r="I167" s="18"/>
      <c r="J167" s="18"/>
      <c r="K167" s="18"/>
      <c r="L167" s="18"/>
      <c r="M167" s="24" t="s">
        <v>179</v>
      </c>
      <c r="O167" t="str">
        <f>""</f>
        <v/>
      </c>
      <c r="P167" s="5" t="s">
        <v>117</v>
      </c>
      <c r="Q167">
        <v>1</v>
      </c>
      <c r="R167">
        <f t="shared" si="126"/>
        <v>0</v>
      </c>
      <c r="S167">
        <f t="shared" si="127"/>
        <v>0</v>
      </c>
      <c r="T167">
        <f t="shared" si="128"/>
        <v>0</v>
      </c>
      <c r="U167">
        <f t="shared" si="129"/>
        <v>0</v>
      </c>
      <c r="V167">
        <f t="shared" si="130"/>
        <v>0</v>
      </c>
      <c r="W167">
        <f t="shared" si="131"/>
        <v>0</v>
      </c>
      <c r="X167">
        <f t="shared" si="132"/>
        <v>0</v>
      </c>
      <c r="Y167">
        <f t="shared" si="133"/>
        <v>0</v>
      </c>
      <c r="Z167">
        <f t="shared" si="134"/>
        <v>0</v>
      </c>
      <c r="AA167">
        <f t="shared" si="135"/>
        <v>0</v>
      </c>
      <c r="AB167">
        <f t="shared" si="136"/>
        <v>0</v>
      </c>
      <c r="AC167">
        <f t="shared" si="137"/>
        <v>0</v>
      </c>
      <c r="AD167">
        <f t="shared" si="138"/>
        <v>0</v>
      </c>
      <c r="AE167">
        <f t="shared" si="139"/>
        <v>0</v>
      </c>
      <c r="AF167">
        <f t="shared" si="140"/>
        <v>0</v>
      </c>
      <c r="AG167">
        <f t="shared" si="141"/>
        <v>0</v>
      </c>
      <c r="AH167">
        <f t="shared" si="142"/>
        <v>0</v>
      </c>
      <c r="AI167">
        <f t="shared" si="143"/>
        <v>0</v>
      </c>
      <c r="AJ167">
        <f t="shared" si="144"/>
        <v>0</v>
      </c>
      <c r="AK167">
        <f t="shared" si="145"/>
        <v>0</v>
      </c>
      <c r="AL167">
        <f t="shared" si="146"/>
        <v>0</v>
      </c>
      <c r="AM167">
        <f t="shared" si="147"/>
        <v>0</v>
      </c>
      <c r="AN167">
        <f t="shared" si="148"/>
        <v>0</v>
      </c>
      <c r="AO167">
        <f t="shared" si="149"/>
        <v>0</v>
      </c>
      <c r="AP167">
        <f t="shared" si="150"/>
        <v>0</v>
      </c>
      <c r="AQ167">
        <f t="shared" si="151"/>
        <v>0</v>
      </c>
      <c r="AR167">
        <f t="shared" si="152"/>
        <v>0</v>
      </c>
      <c r="AS167">
        <f t="shared" si="153"/>
        <v>0</v>
      </c>
      <c r="AT167">
        <f t="shared" si="154"/>
        <v>0</v>
      </c>
      <c r="AU167">
        <f t="shared" si="155"/>
        <v>0</v>
      </c>
      <c r="AY167" s="5" t="s">
        <v>178</v>
      </c>
    </row>
    <row r="168" spans="1:51" ht="20.100000000000001" customHeight="1" x14ac:dyDescent="0.3">
      <c r="A168" s="25" t="s">
        <v>172</v>
      </c>
      <c r="B168" s="25" t="s">
        <v>177</v>
      </c>
      <c r="C168" s="24" t="s">
        <v>170</v>
      </c>
      <c r="D168" s="18">
        <v>35</v>
      </c>
      <c r="E168" s="18"/>
      <c r="F168" s="18"/>
      <c r="G168" s="18"/>
      <c r="H168" s="18"/>
      <c r="I168" s="18"/>
      <c r="J168" s="18"/>
      <c r="K168" s="18"/>
      <c r="L168" s="18"/>
      <c r="M168" s="24" t="s">
        <v>176</v>
      </c>
      <c r="O168" t="str">
        <f>""</f>
        <v/>
      </c>
      <c r="P168" s="5" t="s">
        <v>117</v>
      </c>
      <c r="Q168">
        <v>1</v>
      </c>
      <c r="R168">
        <f t="shared" si="126"/>
        <v>0</v>
      </c>
      <c r="S168">
        <f t="shared" si="127"/>
        <v>0</v>
      </c>
      <c r="T168">
        <f t="shared" si="128"/>
        <v>0</v>
      </c>
      <c r="U168">
        <f t="shared" si="129"/>
        <v>0</v>
      </c>
      <c r="V168">
        <f t="shared" si="130"/>
        <v>0</v>
      </c>
      <c r="W168">
        <f t="shared" si="131"/>
        <v>0</v>
      </c>
      <c r="X168">
        <f t="shared" si="132"/>
        <v>0</v>
      </c>
      <c r="Y168">
        <f t="shared" si="133"/>
        <v>0</v>
      </c>
      <c r="Z168">
        <f t="shared" si="134"/>
        <v>0</v>
      </c>
      <c r="AA168">
        <f t="shared" si="135"/>
        <v>0</v>
      </c>
      <c r="AB168">
        <f t="shared" si="136"/>
        <v>0</v>
      </c>
      <c r="AC168">
        <f t="shared" si="137"/>
        <v>0</v>
      </c>
      <c r="AD168">
        <f t="shared" si="138"/>
        <v>0</v>
      </c>
      <c r="AE168">
        <f t="shared" si="139"/>
        <v>0</v>
      </c>
      <c r="AF168">
        <f t="shared" si="140"/>
        <v>0</v>
      </c>
      <c r="AG168">
        <f t="shared" si="141"/>
        <v>0</v>
      </c>
      <c r="AH168">
        <f t="shared" si="142"/>
        <v>0</v>
      </c>
      <c r="AI168">
        <f t="shared" si="143"/>
        <v>0</v>
      </c>
      <c r="AJ168">
        <f t="shared" si="144"/>
        <v>0</v>
      </c>
      <c r="AK168">
        <f t="shared" si="145"/>
        <v>0</v>
      </c>
      <c r="AL168">
        <f t="shared" si="146"/>
        <v>0</v>
      </c>
      <c r="AM168">
        <f t="shared" si="147"/>
        <v>0</v>
      </c>
      <c r="AN168">
        <f t="shared" si="148"/>
        <v>0</v>
      </c>
      <c r="AO168">
        <f t="shared" si="149"/>
        <v>0</v>
      </c>
      <c r="AP168">
        <f t="shared" si="150"/>
        <v>0</v>
      </c>
      <c r="AQ168">
        <f t="shared" si="151"/>
        <v>0</v>
      </c>
      <c r="AR168">
        <f t="shared" si="152"/>
        <v>0</v>
      </c>
      <c r="AS168">
        <f t="shared" si="153"/>
        <v>0</v>
      </c>
      <c r="AT168">
        <f t="shared" si="154"/>
        <v>0</v>
      </c>
      <c r="AU168">
        <f t="shared" si="155"/>
        <v>0</v>
      </c>
    </row>
    <row r="169" spans="1:51" ht="20.100000000000001" customHeight="1" x14ac:dyDescent="0.3">
      <c r="A169" s="25" t="s">
        <v>175</v>
      </c>
      <c r="B169" s="25" t="s">
        <v>174</v>
      </c>
      <c r="C169" s="24" t="s">
        <v>170</v>
      </c>
      <c r="D169" s="18">
        <v>3.4</v>
      </c>
      <c r="E169" s="18"/>
      <c r="F169" s="18"/>
      <c r="G169" s="18"/>
      <c r="H169" s="18"/>
      <c r="I169" s="18"/>
      <c r="J169" s="18"/>
      <c r="K169" s="18"/>
      <c r="L169" s="18"/>
      <c r="M169" s="24" t="s">
        <v>173</v>
      </c>
      <c r="O169" t="str">
        <f>""</f>
        <v/>
      </c>
      <c r="P169" s="5" t="s">
        <v>117</v>
      </c>
      <c r="Q169">
        <v>1</v>
      </c>
      <c r="R169">
        <f t="shared" si="126"/>
        <v>0</v>
      </c>
      <c r="S169">
        <f t="shared" si="127"/>
        <v>0</v>
      </c>
      <c r="T169">
        <f t="shared" si="128"/>
        <v>0</v>
      </c>
      <c r="U169">
        <f t="shared" si="129"/>
        <v>0</v>
      </c>
      <c r="V169">
        <f t="shared" si="130"/>
        <v>0</v>
      </c>
      <c r="W169">
        <f t="shared" si="131"/>
        <v>0</v>
      </c>
      <c r="X169">
        <f t="shared" si="132"/>
        <v>0</v>
      </c>
      <c r="Y169">
        <f t="shared" si="133"/>
        <v>0</v>
      </c>
      <c r="Z169">
        <f t="shared" si="134"/>
        <v>0</v>
      </c>
      <c r="AA169">
        <f t="shared" si="135"/>
        <v>0</v>
      </c>
      <c r="AB169">
        <f t="shared" si="136"/>
        <v>0</v>
      </c>
      <c r="AC169">
        <f t="shared" si="137"/>
        <v>0</v>
      </c>
      <c r="AD169">
        <f t="shared" si="138"/>
        <v>0</v>
      </c>
      <c r="AE169">
        <f t="shared" si="139"/>
        <v>0</v>
      </c>
      <c r="AF169">
        <f t="shared" si="140"/>
        <v>0</v>
      </c>
      <c r="AG169">
        <f t="shared" si="141"/>
        <v>0</v>
      </c>
      <c r="AH169">
        <f t="shared" si="142"/>
        <v>0</v>
      </c>
      <c r="AI169">
        <f t="shared" si="143"/>
        <v>0</v>
      </c>
      <c r="AJ169">
        <f t="shared" si="144"/>
        <v>0</v>
      </c>
      <c r="AK169">
        <f t="shared" si="145"/>
        <v>0</v>
      </c>
      <c r="AL169">
        <f t="shared" si="146"/>
        <v>0</v>
      </c>
      <c r="AM169">
        <f t="shared" si="147"/>
        <v>0</v>
      </c>
      <c r="AN169">
        <f t="shared" si="148"/>
        <v>0</v>
      </c>
      <c r="AO169">
        <f t="shared" si="149"/>
        <v>0</v>
      </c>
      <c r="AP169">
        <f t="shared" si="150"/>
        <v>0</v>
      </c>
      <c r="AQ169">
        <f t="shared" si="151"/>
        <v>0</v>
      </c>
      <c r="AR169">
        <f t="shared" si="152"/>
        <v>0</v>
      </c>
      <c r="AS169">
        <f t="shared" si="153"/>
        <v>0</v>
      </c>
      <c r="AT169">
        <f t="shared" si="154"/>
        <v>0</v>
      </c>
      <c r="AU169">
        <f t="shared" si="155"/>
        <v>0</v>
      </c>
    </row>
    <row r="170" spans="1:51" ht="20.100000000000001" customHeight="1" x14ac:dyDescent="0.3">
      <c r="A170" s="25" t="s">
        <v>172</v>
      </c>
      <c r="B170" s="25" t="s">
        <v>171</v>
      </c>
      <c r="C170" s="24" t="s">
        <v>170</v>
      </c>
      <c r="D170" s="18">
        <v>44.6</v>
      </c>
      <c r="E170" s="18"/>
      <c r="F170" s="18"/>
      <c r="G170" s="18"/>
      <c r="H170" s="18"/>
      <c r="I170" s="18"/>
      <c r="J170" s="18"/>
      <c r="K170" s="18"/>
      <c r="L170" s="18"/>
      <c r="M170" s="24" t="s">
        <v>169</v>
      </c>
      <c r="O170" t="str">
        <f>""</f>
        <v/>
      </c>
      <c r="P170" s="5" t="s">
        <v>117</v>
      </c>
      <c r="Q170">
        <v>1</v>
      </c>
      <c r="R170">
        <f t="shared" si="126"/>
        <v>0</v>
      </c>
      <c r="S170">
        <f t="shared" si="127"/>
        <v>0</v>
      </c>
      <c r="T170">
        <f t="shared" si="128"/>
        <v>0</v>
      </c>
      <c r="U170">
        <f t="shared" si="129"/>
        <v>0</v>
      </c>
      <c r="V170">
        <f t="shared" si="130"/>
        <v>0</v>
      </c>
      <c r="W170">
        <f t="shared" si="131"/>
        <v>0</v>
      </c>
      <c r="X170">
        <f t="shared" si="132"/>
        <v>0</v>
      </c>
      <c r="Y170">
        <f t="shared" si="133"/>
        <v>0</v>
      </c>
      <c r="Z170">
        <f t="shared" si="134"/>
        <v>0</v>
      </c>
      <c r="AA170">
        <f t="shared" si="135"/>
        <v>0</v>
      </c>
      <c r="AB170">
        <f t="shared" si="136"/>
        <v>0</v>
      </c>
      <c r="AC170">
        <f t="shared" si="137"/>
        <v>0</v>
      </c>
      <c r="AD170">
        <f t="shared" si="138"/>
        <v>0</v>
      </c>
      <c r="AE170">
        <f t="shared" si="139"/>
        <v>0</v>
      </c>
      <c r="AF170">
        <f t="shared" si="140"/>
        <v>0</v>
      </c>
      <c r="AG170">
        <f t="shared" si="141"/>
        <v>0</v>
      </c>
      <c r="AH170">
        <f t="shared" si="142"/>
        <v>0</v>
      </c>
      <c r="AI170">
        <f t="shared" si="143"/>
        <v>0</v>
      </c>
      <c r="AJ170">
        <f t="shared" si="144"/>
        <v>0</v>
      </c>
      <c r="AK170">
        <f t="shared" si="145"/>
        <v>0</v>
      </c>
      <c r="AL170">
        <f t="shared" si="146"/>
        <v>0</v>
      </c>
      <c r="AM170">
        <f t="shared" si="147"/>
        <v>0</v>
      </c>
      <c r="AN170">
        <f t="shared" si="148"/>
        <v>0</v>
      </c>
      <c r="AO170">
        <f t="shared" si="149"/>
        <v>0</v>
      </c>
      <c r="AP170">
        <f t="shared" si="150"/>
        <v>0</v>
      </c>
      <c r="AQ170">
        <f t="shared" si="151"/>
        <v>0</v>
      </c>
      <c r="AR170">
        <f t="shared" si="152"/>
        <v>0</v>
      </c>
      <c r="AS170">
        <f t="shared" si="153"/>
        <v>0</v>
      </c>
      <c r="AT170">
        <f t="shared" si="154"/>
        <v>0</v>
      </c>
      <c r="AU170">
        <f t="shared" si="155"/>
        <v>0</v>
      </c>
    </row>
    <row r="171" spans="1:51" ht="20.100000000000001" customHeight="1" x14ac:dyDescent="0.3">
      <c r="A171" s="23"/>
      <c r="B171" s="23"/>
      <c r="C171" s="21"/>
      <c r="D171" s="18"/>
      <c r="E171" s="18"/>
      <c r="F171" s="18"/>
      <c r="G171" s="18"/>
      <c r="H171" s="18"/>
      <c r="I171" s="18"/>
      <c r="J171" s="18"/>
      <c r="K171" s="18"/>
      <c r="L171" s="18"/>
      <c r="M171" s="21"/>
    </row>
    <row r="172" spans="1:51" ht="20.100000000000001" customHeight="1" x14ac:dyDescent="0.3">
      <c r="A172" s="23"/>
      <c r="B172" s="23"/>
      <c r="C172" s="21"/>
      <c r="D172" s="18"/>
      <c r="E172" s="18"/>
      <c r="F172" s="18"/>
      <c r="G172" s="18"/>
      <c r="H172" s="18"/>
      <c r="I172" s="18"/>
      <c r="J172" s="18"/>
      <c r="K172" s="18"/>
      <c r="L172" s="18"/>
      <c r="M172" s="21"/>
    </row>
    <row r="173" spans="1:51" ht="20.100000000000001" customHeight="1" x14ac:dyDescent="0.3">
      <c r="A173" s="23"/>
      <c r="B173" s="23"/>
      <c r="C173" s="21"/>
      <c r="D173" s="18"/>
      <c r="E173" s="18"/>
      <c r="F173" s="18"/>
      <c r="G173" s="18"/>
      <c r="H173" s="18"/>
      <c r="I173" s="18"/>
      <c r="J173" s="18"/>
      <c r="K173" s="18"/>
      <c r="L173" s="18"/>
      <c r="M173" s="21"/>
    </row>
    <row r="174" spans="1:51" ht="20.100000000000001" customHeight="1" x14ac:dyDescent="0.3">
      <c r="A174" s="23"/>
      <c r="B174" s="23"/>
      <c r="C174" s="21"/>
      <c r="D174" s="18"/>
      <c r="E174" s="18"/>
      <c r="F174" s="18"/>
      <c r="G174" s="18"/>
      <c r="H174" s="18"/>
      <c r="I174" s="18"/>
      <c r="J174" s="18"/>
      <c r="K174" s="18"/>
      <c r="L174" s="18"/>
      <c r="M174" s="21"/>
    </row>
    <row r="175" spans="1:51" ht="20.100000000000001" customHeight="1" x14ac:dyDescent="0.3">
      <c r="A175" s="23"/>
      <c r="B175" s="23"/>
      <c r="C175" s="21"/>
      <c r="D175" s="18"/>
      <c r="E175" s="18"/>
      <c r="F175" s="18"/>
      <c r="G175" s="18"/>
      <c r="H175" s="18"/>
      <c r="I175" s="18"/>
      <c r="J175" s="18"/>
      <c r="K175" s="18"/>
      <c r="L175" s="18"/>
      <c r="M175" s="21"/>
    </row>
    <row r="176" spans="1:51" ht="20.100000000000001" customHeight="1" x14ac:dyDescent="0.3">
      <c r="A176" s="23"/>
      <c r="B176" s="23"/>
      <c r="C176" s="21"/>
      <c r="D176" s="18"/>
      <c r="E176" s="18"/>
      <c r="F176" s="18"/>
      <c r="G176" s="18"/>
      <c r="H176" s="18"/>
      <c r="I176" s="18"/>
      <c r="J176" s="18"/>
      <c r="K176" s="18"/>
      <c r="L176" s="18"/>
      <c r="M176" s="21"/>
    </row>
    <row r="177" spans="1:51" ht="20.100000000000001" customHeight="1" x14ac:dyDescent="0.3">
      <c r="A177" s="23"/>
      <c r="B177" s="23"/>
      <c r="C177" s="21"/>
      <c r="D177" s="18"/>
      <c r="E177" s="18"/>
      <c r="F177" s="18"/>
      <c r="G177" s="18"/>
      <c r="H177" s="18"/>
      <c r="I177" s="18"/>
      <c r="J177" s="18"/>
      <c r="K177" s="18"/>
      <c r="L177" s="18"/>
      <c r="M177" s="21"/>
    </row>
    <row r="178" spans="1:51" ht="20.100000000000001" customHeight="1" x14ac:dyDescent="0.3">
      <c r="A178" s="23"/>
      <c r="B178" s="23"/>
      <c r="C178" s="21"/>
      <c r="D178" s="18"/>
      <c r="E178" s="18"/>
      <c r="F178" s="18"/>
      <c r="G178" s="18"/>
      <c r="H178" s="18"/>
      <c r="I178" s="18"/>
      <c r="J178" s="18"/>
      <c r="K178" s="18"/>
      <c r="L178" s="18"/>
      <c r="M178" s="21"/>
    </row>
    <row r="179" spans="1:51" ht="20.100000000000001" customHeight="1" x14ac:dyDescent="0.3">
      <c r="A179" s="23"/>
      <c r="B179" s="23"/>
      <c r="C179" s="21"/>
      <c r="D179" s="18"/>
      <c r="E179" s="18"/>
      <c r="F179" s="18"/>
      <c r="G179" s="18"/>
      <c r="H179" s="18"/>
      <c r="I179" s="18"/>
      <c r="J179" s="18"/>
      <c r="K179" s="18"/>
      <c r="L179" s="18"/>
      <c r="M179" s="21"/>
    </row>
    <row r="180" spans="1:51" ht="20.100000000000001" customHeight="1" x14ac:dyDescent="0.3">
      <c r="A180" s="20" t="s">
        <v>68</v>
      </c>
      <c r="B180" s="6"/>
      <c r="C180" s="17"/>
      <c r="D180" s="4"/>
      <c r="E180" s="18"/>
      <c r="F180" s="4">
        <f>ROUNDDOWN(SUMIF(Q160:Q179, "1", F160:F179), 0)</f>
        <v>0</v>
      </c>
      <c r="G180" s="18"/>
      <c r="H180" s="4">
        <f>ROUNDDOWN(SUMIF(Q160:Q179, "1", H160:H179), 0)</f>
        <v>0</v>
      </c>
      <c r="I180" s="18"/>
      <c r="J180" s="4">
        <f>ROUNDDOWN(SUMIF(Q160:Q179, "1", J160:J179), 0)</f>
        <v>0</v>
      </c>
      <c r="K180" s="18"/>
      <c r="L180" s="4">
        <f>F180+H180+J180</f>
        <v>0</v>
      </c>
      <c r="M180" s="17"/>
      <c r="R180">
        <f t="shared" ref="R180:AY180" si="156">ROUNDDOWN(SUM(R160:R170), 0)</f>
        <v>0</v>
      </c>
      <c r="S180">
        <f t="shared" si="156"/>
        <v>0</v>
      </c>
      <c r="T180">
        <f t="shared" si="156"/>
        <v>0</v>
      </c>
      <c r="U180">
        <f t="shared" si="156"/>
        <v>0</v>
      </c>
      <c r="V180">
        <f t="shared" si="156"/>
        <v>0</v>
      </c>
      <c r="W180">
        <f t="shared" si="156"/>
        <v>0</v>
      </c>
      <c r="X180">
        <f t="shared" si="156"/>
        <v>0</v>
      </c>
      <c r="Y180">
        <f t="shared" si="156"/>
        <v>0</v>
      </c>
      <c r="Z180">
        <f t="shared" si="156"/>
        <v>0</v>
      </c>
      <c r="AA180">
        <f t="shared" si="156"/>
        <v>0</v>
      </c>
      <c r="AB180">
        <f t="shared" si="156"/>
        <v>0</v>
      </c>
      <c r="AC180">
        <f t="shared" si="156"/>
        <v>0</v>
      </c>
      <c r="AD180">
        <f t="shared" si="156"/>
        <v>0</v>
      </c>
      <c r="AE180">
        <f t="shared" si="156"/>
        <v>0</v>
      </c>
      <c r="AF180">
        <f t="shared" si="156"/>
        <v>0</v>
      </c>
      <c r="AG180">
        <f t="shared" si="156"/>
        <v>0</v>
      </c>
      <c r="AH180">
        <f t="shared" si="156"/>
        <v>0</v>
      </c>
      <c r="AI180">
        <f t="shared" si="156"/>
        <v>0</v>
      </c>
      <c r="AJ180">
        <f t="shared" si="156"/>
        <v>0</v>
      </c>
      <c r="AK180">
        <f t="shared" si="156"/>
        <v>0</v>
      </c>
      <c r="AL180">
        <f t="shared" si="156"/>
        <v>0</v>
      </c>
      <c r="AM180">
        <f t="shared" si="156"/>
        <v>0</v>
      </c>
      <c r="AN180">
        <f t="shared" si="156"/>
        <v>0</v>
      </c>
      <c r="AO180">
        <f t="shared" si="156"/>
        <v>0</v>
      </c>
      <c r="AP180">
        <f t="shared" si="156"/>
        <v>0</v>
      </c>
      <c r="AQ180">
        <f t="shared" si="156"/>
        <v>0</v>
      </c>
      <c r="AR180">
        <f t="shared" si="156"/>
        <v>0</v>
      </c>
      <c r="AS180">
        <f t="shared" si="156"/>
        <v>0</v>
      </c>
      <c r="AT180">
        <f t="shared" si="156"/>
        <v>0</v>
      </c>
      <c r="AU180">
        <f t="shared" si="156"/>
        <v>0</v>
      </c>
      <c r="AV180">
        <f t="shared" si="156"/>
        <v>0</v>
      </c>
      <c r="AW180">
        <f t="shared" si="156"/>
        <v>0</v>
      </c>
      <c r="AX180">
        <f t="shared" si="156"/>
        <v>0</v>
      </c>
      <c r="AY180">
        <f t="shared" si="156"/>
        <v>0</v>
      </c>
    </row>
    <row r="181" spans="1:51" ht="20.100000000000001" customHeight="1" x14ac:dyDescent="0.3">
      <c r="A181" s="67" t="s">
        <v>168</v>
      </c>
      <c r="B181" s="68"/>
      <c r="C181" s="68"/>
      <c r="D181" s="69"/>
      <c r="E181" s="69"/>
      <c r="F181" s="69"/>
      <c r="G181" s="69"/>
      <c r="H181" s="69"/>
      <c r="I181" s="69"/>
      <c r="J181" s="69"/>
      <c r="K181" s="69"/>
      <c r="L181" s="69"/>
      <c r="M181" s="68"/>
    </row>
    <row r="182" spans="1:51" ht="20.100000000000001" customHeight="1" x14ac:dyDescent="0.3">
      <c r="A182" s="25" t="s">
        <v>167</v>
      </c>
      <c r="B182" s="25" t="s">
        <v>166</v>
      </c>
      <c r="C182" s="24" t="s">
        <v>152</v>
      </c>
      <c r="D182" s="18">
        <v>1</v>
      </c>
      <c r="E182" s="18"/>
      <c r="F182" s="18"/>
      <c r="G182" s="18"/>
      <c r="H182" s="18"/>
      <c r="I182" s="18"/>
      <c r="J182" s="18"/>
      <c r="K182" s="18"/>
      <c r="L182" s="18"/>
      <c r="M182" s="21"/>
      <c r="O182" t="str">
        <f>""</f>
        <v/>
      </c>
      <c r="P182" s="5" t="s">
        <v>117</v>
      </c>
      <c r="Q182">
        <v>1</v>
      </c>
      <c r="R182">
        <f t="shared" ref="R182:R187" si="157">IF(P182="기계경비", J182, 0)</f>
        <v>0</v>
      </c>
      <c r="S182">
        <f t="shared" ref="S182:S187" si="158">IF(P182="운반비", L182, 0)</f>
        <v>0</v>
      </c>
      <c r="T182">
        <f t="shared" ref="T182:T187" si="159">IF(P182="작업부산물", F182, 0)</f>
        <v>0</v>
      </c>
      <c r="U182">
        <f t="shared" ref="U182:U187" si="160">IF(P182="관급", F182, 0)</f>
        <v>0</v>
      </c>
      <c r="V182">
        <f t="shared" ref="V182:V187" si="161">IF(P182="외주비", J182, 0)</f>
        <v>0</v>
      </c>
      <c r="W182">
        <f t="shared" ref="W182:W187" si="162">IF(P182="장비비", J182, 0)</f>
        <v>0</v>
      </c>
      <c r="X182">
        <f t="shared" ref="X182:X187" si="163">IF(P182="폐기물처리비", L182, 0)</f>
        <v>0</v>
      </c>
      <c r="Y182">
        <f t="shared" ref="Y182:Y187" si="164">IF(P182="가설비", J182, 0)</f>
        <v>0</v>
      </c>
      <c r="Z182">
        <f t="shared" ref="Z182:Z187" si="165">IF(P182="잡비제외분", F182, 0)</f>
        <v>0</v>
      </c>
      <c r="AA182">
        <f t="shared" ref="AA182:AA187" si="166">IF(P182="사급자재대", L182, 0)</f>
        <v>0</v>
      </c>
      <c r="AB182">
        <f t="shared" ref="AB182:AB187" si="167">IF(P182="관급자재대", L182, 0)</f>
        <v>0</v>
      </c>
      <c r="AC182">
        <f t="shared" ref="AC182:AC187" si="168">IF(P182="관급자관급", L182, 0)</f>
        <v>0</v>
      </c>
      <c r="AD182">
        <f t="shared" ref="AD182:AD187" si="169">IF(P182="품질시험비", L182, 0)</f>
        <v>0</v>
      </c>
      <c r="AE182">
        <f t="shared" ref="AE182:AE187" si="170">IF(P182="수도광열비", L182, 0)</f>
        <v>0</v>
      </c>
      <c r="AF182">
        <f t="shared" ref="AF182:AF187" si="171">IF(P182="공기중석면농도측정비", L182, 0)</f>
        <v>0</v>
      </c>
      <c r="AG182">
        <f t="shared" ref="AG182:AG187" si="172">IF(P182="사용자항목5", L182, 0)</f>
        <v>0</v>
      </c>
      <c r="AH182">
        <f t="shared" ref="AH182:AH187" si="173">IF(P182="사용자항목6", L182, 0)</f>
        <v>0</v>
      </c>
      <c r="AI182">
        <f t="shared" ref="AI182:AI187" si="174">IF(P182="사용자항목7", L182, 0)</f>
        <v>0</v>
      </c>
      <c r="AJ182">
        <f t="shared" ref="AJ182:AJ187" si="175">IF(P182="관급자재대2", L182, 0)</f>
        <v>0</v>
      </c>
      <c r="AK182">
        <f t="shared" ref="AK182:AK187" si="176">IF(P182="작업부산물", L182, 0)</f>
        <v>0</v>
      </c>
      <c r="AL182">
        <f t="shared" ref="AL182:AL187" si="177">IF(P182="해체계획비및검토비", L182, 0)</f>
        <v>0</v>
      </c>
      <c r="AM182">
        <f t="shared" ref="AM182:AM187" si="178">IF(P182="사용자항목11", L182, 0)</f>
        <v>0</v>
      </c>
      <c r="AN182">
        <f t="shared" ref="AN182:AN187" si="179">IF(P182="사용자항목12", L182, 0)</f>
        <v>0</v>
      </c>
      <c r="AO182">
        <f t="shared" ref="AO182:AO187" si="180">IF(P182="사용자항목13", L182, 0)</f>
        <v>0</v>
      </c>
      <c r="AP182">
        <f t="shared" ref="AP182:AP187" si="181">IF(P182="사용자항목14", L182, 0)</f>
        <v>0</v>
      </c>
      <c r="AQ182">
        <f t="shared" ref="AQ182:AQ187" si="182">IF(P182="사용자항목15", L182, 0)</f>
        <v>0</v>
      </c>
      <c r="AR182">
        <f t="shared" ref="AR182:AR187" si="183">IF(P182="사용자항목16", L182, 0)</f>
        <v>0</v>
      </c>
      <c r="AS182">
        <f t="shared" ref="AS182:AS187" si="184">IF(P182="사용자항목17", L182, 0)</f>
        <v>0</v>
      </c>
      <c r="AT182">
        <f t="shared" ref="AT182:AT187" si="185">IF(P182="사용자항목18", L182, 0)</f>
        <v>0</v>
      </c>
      <c r="AU182">
        <f t="shared" ref="AU182:AU187" si="186">IF(P182="사용자항목19", L182, 0)</f>
        <v>0</v>
      </c>
    </row>
    <row r="183" spans="1:51" ht="20.100000000000001" customHeight="1" x14ac:dyDescent="0.3">
      <c r="A183" s="25" t="s">
        <v>165</v>
      </c>
      <c r="B183" s="25" t="s">
        <v>164</v>
      </c>
      <c r="C183" s="24" t="s">
        <v>152</v>
      </c>
      <c r="D183" s="18">
        <v>1</v>
      </c>
      <c r="E183" s="18"/>
      <c r="F183" s="18"/>
      <c r="G183" s="18"/>
      <c r="H183" s="18"/>
      <c r="I183" s="18"/>
      <c r="J183" s="18"/>
      <c r="K183" s="18"/>
      <c r="L183" s="18"/>
      <c r="M183" s="21"/>
      <c r="O183" t="str">
        <f>""</f>
        <v/>
      </c>
      <c r="P183" s="5" t="s">
        <v>117</v>
      </c>
      <c r="Q183">
        <v>1</v>
      </c>
      <c r="R183">
        <f t="shared" si="157"/>
        <v>0</v>
      </c>
      <c r="S183">
        <f t="shared" si="158"/>
        <v>0</v>
      </c>
      <c r="T183">
        <f t="shared" si="159"/>
        <v>0</v>
      </c>
      <c r="U183">
        <f t="shared" si="160"/>
        <v>0</v>
      </c>
      <c r="V183">
        <f t="shared" si="161"/>
        <v>0</v>
      </c>
      <c r="W183">
        <f t="shared" si="162"/>
        <v>0</v>
      </c>
      <c r="X183">
        <f t="shared" si="163"/>
        <v>0</v>
      </c>
      <c r="Y183">
        <f t="shared" si="164"/>
        <v>0</v>
      </c>
      <c r="Z183">
        <f t="shared" si="165"/>
        <v>0</v>
      </c>
      <c r="AA183">
        <f t="shared" si="166"/>
        <v>0</v>
      </c>
      <c r="AB183">
        <f t="shared" si="167"/>
        <v>0</v>
      </c>
      <c r="AC183">
        <f t="shared" si="168"/>
        <v>0</v>
      </c>
      <c r="AD183">
        <f t="shared" si="169"/>
        <v>0</v>
      </c>
      <c r="AE183">
        <f t="shared" si="170"/>
        <v>0</v>
      </c>
      <c r="AF183">
        <f t="shared" si="171"/>
        <v>0</v>
      </c>
      <c r="AG183">
        <f t="shared" si="172"/>
        <v>0</v>
      </c>
      <c r="AH183">
        <f t="shared" si="173"/>
        <v>0</v>
      </c>
      <c r="AI183">
        <f t="shared" si="174"/>
        <v>0</v>
      </c>
      <c r="AJ183">
        <f t="shared" si="175"/>
        <v>0</v>
      </c>
      <c r="AK183">
        <f t="shared" si="176"/>
        <v>0</v>
      </c>
      <c r="AL183">
        <f t="shared" si="177"/>
        <v>0</v>
      </c>
      <c r="AM183">
        <f t="shared" si="178"/>
        <v>0</v>
      </c>
      <c r="AN183">
        <f t="shared" si="179"/>
        <v>0</v>
      </c>
      <c r="AO183">
        <f t="shared" si="180"/>
        <v>0</v>
      </c>
      <c r="AP183">
        <f t="shared" si="181"/>
        <v>0</v>
      </c>
      <c r="AQ183">
        <f t="shared" si="182"/>
        <v>0</v>
      </c>
      <c r="AR183">
        <f t="shared" si="183"/>
        <v>0</v>
      </c>
      <c r="AS183">
        <f t="shared" si="184"/>
        <v>0</v>
      </c>
      <c r="AT183">
        <f t="shared" si="185"/>
        <v>0</v>
      </c>
      <c r="AU183">
        <f t="shared" si="186"/>
        <v>0</v>
      </c>
    </row>
    <row r="184" spans="1:51" ht="20.100000000000001" customHeight="1" x14ac:dyDescent="0.3">
      <c r="A184" s="25" t="s">
        <v>163</v>
      </c>
      <c r="B184" s="25" t="s">
        <v>162</v>
      </c>
      <c r="C184" s="24" t="s">
        <v>152</v>
      </c>
      <c r="D184" s="18">
        <v>1</v>
      </c>
      <c r="E184" s="18"/>
      <c r="F184" s="18"/>
      <c r="G184" s="18"/>
      <c r="H184" s="18"/>
      <c r="I184" s="18"/>
      <c r="J184" s="18"/>
      <c r="K184" s="18"/>
      <c r="L184" s="18"/>
      <c r="M184" s="21"/>
      <c r="O184" t="str">
        <f>""</f>
        <v/>
      </c>
      <c r="P184" s="5" t="s">
        <v>117</v>
      </c>
      <c r="Q184">
        <v>1</v>
      </c>
      <c r="R184">
        <f t="shared" si="157"/>
        <v>0</v>
      </c>
      <c r="S184">
        <f t="shared" si="158"/>
        <v>0</v>
      </c>
      <c r="T184">
        <f t="shared" si="159"/>
        <v>0</v>
      </c>
      <c r="U184">
        <f t="shared" si="160"/>
        <v>0</v>
      </c>
      <c r="V184">
        <f t="shared" si="161"/>
        <v>0</v>
      </c>
      <c r="W184">
        <f t="shared" si="162"/>
        <v>0</v>
      </c>
      <c r="X184">
        <f t="shared" si="163"/>
        <v>0</v>
      </c>
      <c r="Y184">
        <f t="shared" si="164"/>
        <v>0</v>
      </c>
      <c r="Z184">
        <f t="shared" si="165"/>
        <v>0</v>
      </c>
      <c r="AA184">
        <f t="shared" si="166"/>
        <v>0</v>
      </c>
      <c r="AB184">
        <f t="shared" si="167"/>
        <v>0</v>
      </c>
      <c r="AC184">
        <f t="shared" si="168"/>
        <v>0</v>
      </c>
      <c r="AD184">
        <f t="shared" si="169"/>
        <v>0</v>
      </c>
      <c r="AE184">
        <f t="shared" si="170"/>
        <v>0</v>
      </c>
      <c r="AF184">
        <f t="shared" si="171"/>
        <v>0</v>
      </c>
      <c r="AG184">
        <f t="shared" si="172"/>
        <v>0</v>
      </c>
      <c r="AH184">
        <f t="shared" si="173"/>
        <v>0</v>
      </c>
      <c r="AI184">
        <f t="shared" si="174"/>
        <v>0</v>
      </c>
      <c r="AJ184">
        <f t="shared" si="175"/>
        <v>0</v>
      </c>
      <c r="AK184">
        <f t="shared" si="176"/>
        <v>0</v>
      </c>
      <c r="AL184">
        <f t="shared" si="177"/>
        <v>0</v>
      </c>
      <c r="AM184">
        <f t="shared" si="178"/>
        <v>0</v>
      </c>
      <c r="AN184">
        <f t="shared" si="179"/>
        <v>0</v>
      </c>
      <c r="AO184">
        <f t="shared" si="180"/>
        <v>0</v>
      </c>
      <c r="AP184">
        <f t="shared" si="181"/>
        <v>0</v>
      </c>
      <c r="AQ184">
        <f t="shared" si="182"/>
        <v>0</v>
      </c>
      <c r="AR184">
        <f t="shared" si="183"/>
        <v>0</v>
      </c>
      <c r="AS184">
        <f t="shared" si="184"/>
        <v>0</v>
      </c>
      <c r="AT184">
        <f t="shared" si="185"/>
        <v>0</v>
      </c>
      <c r="AU184">
        <f t="shared" si="186"/>
        <v>0</v>
      </c>
    </row>
    <row r="185" spans="1:51" ht="20.100000000000001" customHeight="1" x14ac:dyDescent="0.3">
      <c r="A185" s="25" t="s">
        <v>161</v>
      </c>
      <c r="B185" s="25" t="s">
        <v>160</v>
      </c>
      <c r="C185" s="24" t="s">
        <v>152</v>
      </c>
      <c r="D185" s="18">
        <v>1</v>
      </c>
      <c r="E185" s="18"/>
      <c r="F185" s="18"/>
      <c r="G185" s="18"/>
      <c r="H185" s="18"/>
      <c r="I185" s="18"/>
      <c r="J185" s="18"/>
      <c r="K185" s="18"/>
      <c r="L185" s="18"/>
      <c r="M185" s="21"/>
      <c r="O185" t="str">
        <f>""</f>
        <v/>
      </c>
      <c r="P185" s="5" t="s">
        <v>117</v>
      </c>
      <c r="Q185">
        <v>1</v>
      </c>
      <c r="R185">
        <f t="shared" si="157"/>
        <v>0</v>
      </c>
      <c r="S185">
        <f t="shared" si="158"/>
        <v>0</v>
      </c>
      <c r="T185">
        <f t="shared" si="159"/>
        <v>0</v>
      </c>
      <c r="U185">
        <f t="shared" si="160"/>
        <v>0</v>
      </c>
      <c r="V185">
        <f t="shared" si="161"/>
        <v>0</v>
      </c>
      <c r="W185">
        <f t="shared" si="162"/>
        <v>0</v>
      </c>
      <c r="X185">
        <f t="shared" si="163"/>
        <v>0</v>
      </c>
      <c r="Y185">
        <f t="shared" si="164"/>
        <v>0</v>
      </c>
      <c r="Z185">
        <f t="shared" si="165"/>
        <v>0</v>
      </c>
      <c r="AA185">
        <f t="shared" si="166"/>
        <v>0</v>
      </c>
      <c r="AB185">
        <f t="shared" si="167"/>
        <v>0</v>
      </c>
      <c r="AC185">
        <f t="shared" si="168"/>
        <v>0</v>
      </c>
      <c r="AD185">
        <f t="shared" si="169"/>
        <v>0</v>
      </c>
      <c r="AE185">
        <f t="shared" si="170"/>
        <v>0</v>
      </c>
      <c r="AF185">
        <f t="shared" si="171"/>
        <v>0</v>
      </c>
      <c r="AG185">
        <f t="shared" si="172"/>
        <v>0</v>
      </c>
      <c r="AH185">
        <f t="shared" si="173"/>
        <v>0</v>
      </c>
      <c r="AI185">
        <f t="shared" si="174"/>
        <v>0</v>
      </c>
      <c r="AJ185">
        <f t="shared" si="175"/>
        <v>0</v>
      </c>
      <c r="AK185">
        <f t="shared" si="176"/>
        <v>0</v>
      </c>
      <c r="AL185">
        <f t="shared" si="177"/>
        <v>0</v>
      </c>
      <c r="AM185">
        <f t="shared" si="178"/>
        <v>0</v>
      </c>
      <c r="AN185">
        <f t="shared" si="179"/>
        <v>0</v>
      </c>
      <c r="AO185">
        <f t="shared" si="180"/>
        <v>0</v>
      </c>
      <c r="AP185">
        <f t="shared" si="181"/>
        <v>0</v>
      </c>
      <c r="AQ185">
        <f t="shared" si="182"/>
        <v>0</v>
      </c>
      <c r="AR185">
        <f t="shared" si="183"/>
        <v>0</v>
      </c>
      <c r="AS185">
        <f t="shared" si="184"/>
        <v>0</v>
      </c>
      <c r="AT185">
        <f t="shared" si="185"/>
        <v>0</v>
      </c>
      <c r="AU185">
        <f t="shared" si="186"/>
        <v>0</v>
      </c>
    </row>
    <row r="186" spans="1:51" ht="20.100000000000001" customHeight="1" x14ac:dyDescent="0.3">
      <c r="A186" s="25" t="s">
        <v>159</v>
      </c>
      <c r="B186" s="25" t="s">
        <v>158</v>
      </c>
      <c r="C186" s="24" t="s">
        <v>152</v>
      </c>
      <c r="D186" s="18">
        <v>1</v>
      </c>
      <c r="E186" s="18"/>
      <c r="F186" s="18"/>
      <c r="G186" s="18"/>
      <c r="H186" s="18"/>
      <c r="I186" s="18"/>
      <c r="J186" s="18"/>
      <c r="K186" s="18"/>
      <c r="L186" s="18"/>
      <c r="M186" s="21"/>
      <c r="O186" t="str">
        <f>""</f>
        <v/>
      </c>
      <c r="P186" s="5" t="s">
        <v>117</v>
      </c>
      <c r="Q186">
        <v>1</v>
      </c>
      <c r="R186">
        <f t="shared" si="157"/>
        <v>0</v>
      </c>
      <c r="S186">
        <f t="shared" si="158"/>
        <v>0</v>
      </c>
      <c r="T186">
        <f t="shared" si="159"/>
        <v>0</v>
      </c>
      <c r="U186">
        <f t="shared" si="160"/>
        <v>0</v>
      </c>
      <c r="V186">
        <f t="shared" si="161"/>
        <v>0</v>
      </c>
      <c r="W186">
        <f t="shared" si="162"/>
        <v>0</v>
      </c>
      <c r="X186">
        <f t="shared" si="163"/>
        <v>0</v>
      </c>
      <c r="Y186">
        <f t="shared" si="164"/>
        <v>0</v>
      </c>
      <c r="Z186">
        <f t="shared" si="165"/>
        <v>0</v>
      </c>
      <c r="AA186">
        <f t="shared" si="166"/>
        <v>0</v>
      </c>
      <c r="AB186">
        <f t="shared" si="167"/>
        <v>0</v>
      </c>
      <c r="AC186">
        <f t="shared" si="168"/>
        <v>0</v>
      </c>
      <c r="AD186">
        <f t="shared" si="169"/>
        <v>0</v>
      </c>
      <c r="AE186">
        <f t="shared" si="170"/>
        <v>0</v>
      </c>
      <c r="AF186">
        <f t="shared" si="171"/>
        <v>0</v>
      </c>
      <c r="AG186">
        <f t="shared" si="172"/>
        <v>0</v>
      </c>
      <c r="AH186">
        <f t="shared" si="173"/>
        <v>0</v>
      </c>
      <c r="AI186">
        <f t="shared" si="174"/>
        <v>0</v>
      </c>
      <c r="AJ186">
        <f t="shared" si="175"/>
        <v>0</v>
      </c>
      <c r="AK186">
        <f t="shared" si="176"/>
        <v>0</v>
      </c>
      <c r="AL186">
        <f t="shared" si="177"/>
        <v>0</v>
      </c>
      <c r="AM186">
        <f t="shared" si="178"/>
        <v>0</v>
      </c>
      <c r="AN186">
        <f t="shared" si="179"/>
        <v>0</v>
      </c>
      <c r="AO186">
        <f t="shared" si="180"/>
        <v>0</v>
      </c>
      <c r="AP186">
        <f t="shared" si="181"/>
        <v>0</v>
      </c>
      <c r="AQ186">
        <f t="shared" si="182"/>
        <v>0</v>
      </c>
      <c r="AR186">
        <f t="shared" si="183"/>
        <v>0</v>
      </c>
      <c r="AS186">
        <f t="shared" si="184"/>
        <v>0</v>
      </c>
      <c r="AT186">
        <f t="shared" si="185"/>
        <v>0</v>
      </c>
      <c r="AU186">
        <f t="shared" si="186"/>
        <v>0</v>
      </c>
    </row>
    <row r="187" spans="1:51" ht="20.100000000000001" customHeight="1" x14ac:dyDescent="0.3">
      <c r="A187" s="25" t="s">
        <v>157</v>
      </c>
      <c r="B187" s="25" t="s">
        <v>156</v>
      </c>
      <c r="C187" s="24" t="s">
        <v>152</v>
      </c>
      <c r="D187" s="18">
        <v>1</v>
      </c>
      <c r="E187" s="18"/>
      <c r="F187" s="18"/>
      <c r="G187" s="18"/>
      <c r="H187" s="18"/>
      <c r="I187" s="18"/>
      <c r="J187" s="18"/>
      <c r="K187" s="18"/>
      <c r="L187" s="18"/>
      <c r="M187" s="21"/>
      <c r="O187" t="str">
        <f>""</f>
        <v/>
      </c>
      <c r="P187" s="5" t="s">
        <v>117</v>
      </c>
      <c r="Q187">
        <v>1</v>
      </c>
      <c r="R187">
        <f t="shared" si="157"/>
        <v>0</v>
      </c>
      <c r="S187">
        <f t="shared" si="158"/>
        <v>0</v>
      </c>
      <c r="T187">
        <f t="shared" si="159"/>
        <v>0</v>
      </c>
      <c r="U187">
        <f t="shared" si="160"/>
        <v>0</v>
      </c>
      <c r="V187">
        <f t="shared" si="161"/>
        <v>0</v>
      </c>
      <c r="W187">
        <f t="shared" si="162"/>
        <v>0</v>
      </c>
      <c r="X187">
        <f t="shared" si="163"/>
        <v>0</v>
      </c>
      <c r="Y187">
        <f t="shared" si="164"/>
        <v>0</v>
      </c>
      <c r="Z187">
        <f t="shared" si="165"/>
        <v>0</v>
      </c>
      <c r="AA187">
        <f t="shared" si="166"/>
        <v>0</v>
      </c>
      <c r="AB187">
        <f t="shared" si="167"/>
        <v>0</v>
      </c>
      <c r="AC187">
        <f t="shared" si="168"/>
        <v>0</v>
      </c>
      <c r="AD187">
        <f t="shared" si="169"/>
        <v>0</v>
      </c>
      <c r="AE187">
        <f t="shared" si="170"/>
        <v>0</v>
      </c>
      <c r="AF187">
        <f t="shared" si="171"/>
        <v>0</v>
      </c>
      <c r="AG187">
        <f t="shared" si="172"/>
        <v>0</v>
      </c>
      <c r="AH187">
        <f t="shared" si="173"/>
        <v>0</v>
      </c>
      <c r="AI187">
        <f t="shared" si="174"/>
        <v>0</v>
      </c>
      <c r="AJ187">
        <f t="shared" si="175"/>
        <v>0</v>
      </c>
      <c r="AK187">
        <f t="shared" si="176"/>
        <v>0</v>
      </c>
      <c r="AL187">
        <f t="shared" si="177"/>
        <v>0</v>
      </c>
      <c r="AM187">
        <f t="shared" si="178"/>
        <v>0</v>
      </c>
      <c r="AN187">
        <f t="shared" si="179"/>
        <v>0</v>
      </c>
      <c r="AO187">
        <f t="shared" si="180"/>
        <v>0</v>
      </c>
      <c r="AP187">
        <f t="shared" si="181"/>
        <v>0</v>
      </c>
      <c r="AQ187">
        <f t="shared" si="182"/>
        <v>0</v>
      </c>
      <c r="AR187">
        <f t="shared" si="183"/>
        <v>0</v>
      </c>
      <c r="AS187">
        <f t="shared" si="184"/>
        <v>0</v>
      </c>
      <c r="AT187">
        <f t="shared" si="185"/>
        <v>0</v>
      </c>
      <c r="AU187">
        <f t="shared" si="186"/>
        <v>0</v>
      </c>
    </row>
    <row r="188" spans="1:51" ht="20.100000000000001" customHeight="1" x14ac:dyDescent="0.3">
      <c r="A188" s="23"/>
      <c r="B188" s="23"/>
      <c r="C188" s="21"/>
      <c r="D188" s="18"/>
      <c r="E188" s="18"/>
      <c r="F188" s="18"/>
      <c r="G188" s="18"/>
      <c r="H188" s="18"/>
      <c r="I188" s="18"/>
      <c r="J188" s="18"/>
      <c r="K188" s="18"/>
      <c r="L188" s="18"/>
      <c r="M188" s="21"/>
    </row>
    <row r="189" spans="1:51" ht="20.100000000000001" customHeight="1" x14ac:dyDescent="0.3">
      <c r="A189" s="23"/>
      <c r="B189" s="23"/>
      <c r="C189" s="21"/>
      <c r="D189" s="18"/>
      <c r="E189" s="18"/>
      <c r="F189" s="18"/>
      <c r="G189" s="18"/>
      <c r="H189" s="18"/>
      <c r="I189" s="18"/>
      <c r="J189" s="18"/>
      <c r="K189" s="18"/>
      <c r="L189" s="18"/>
      <c r="M189" s="21"/>
    </row>
    <row r="190" spans="1:51" ht="20.100000000000001" customHeight="1" x14ac:dyDescent="0.3">
      <c r="A190" s="23"/>
      <c r="B190" s="23"/>
      <c r="C190" s="21"/>
      <c r="D190" s="18"/>
      <c r="E190" s="18"/>
      <c r="F190" s="18"/>
      <c r="G190" s="18"/>
      <c r="H190" s="18"/>
      <c r="I190" s="18"/>
      <c r="J190" s="18"/>
      <c r="K190" s="18"/>
      <c r="L190" s="18"/>
      <c r="M190" s="21"/>
    </row>
    <row r="191" spans="1:51" ht="20.100000000000001" customHeight="1" x14ac:dyDescent="0.3">
      <c r="A191" s="23"/>
      <c r="B191" s="23"/>
      <c r="C191" s="21"/>
      <c r="D191" s="18"/>
      <c r="E191" s="18"/>
      <c r="F191" s="18"/>
      <c r="G191" s="18"/>
      <c r="H191" s="18"/>
      <c r="I191" s="18"/>
      <c r="J191" s="18"/>
      <c r="K191" s="18"/>
      <c r="L191" s="18"/>
      <c r="M191" s="21"/>
    </row>
    <row r="192" spans="1:51" ht="20.100000000000001" customHeight="1" x14ac:dyDescent="0.3">
      <c r="A192" s="23"/>
      <c r="B192" s="23"/>
      <c r="C192" s="21"/>
      <c r="D192" s="18"/>
      <c r="E192" s="18"/>
      <c r="F192" s="18"/>
      <c r="G192" s="18"/>
      <c r="H192" s="18"/>
      <c r="I192" s="18"/>
      <c r="J192" s="18"/>
      <c r="K192" s="18"/>
      <c r="L192" s="18"/>
      <c r="M192" s="21"/>
    </row>
    <row r="193" spans="1:51" ht="20.100000000000001" customHeight="1" x14ac:dyDescent="0.3">
      <c r="A193" s="23"/>
      <c r="B193" s="23"/>
      <c r="C193" s="21"/>
      <c r="D193" s="18"/>
      <c r="E193" s="18"/>
      <c r="F193" s="18"/>
      <c r="G193" s="18"/>
      <c r="H193" s="18"/>
      <c r="I193" s="18"/>
      <c r="J193" s="18"/>
      <c r="K193" s="18"/>
      <c r="L193" s="18"/>
      <c r="M193" s="21"/>
    </row>
    <row r="194" spans="1:51" ht="20.100000000000001" customHeight="1" x14ac:dyDescent="0.3">
      <c r="A194" s="23"/>
      <c r="B194" s="23"/>
      <c r="C194" s="21"/>
      <c r="D194" s="18"/>
      <c r="E194" s="18"/>
      <c r="F194" s="18"/>
      <c r="G194" s="18"/>
      <c r="H194" s="18"/>
      <c r="I194" s="18"/>
      <c r="J194" s="18"/>
      <c r="K194" s="18"/>
      <c r="L194" s="18"/>
      <c r="M194" s="21"/>
    </row>
    <row r="195" spans="1:51" ht="20.100000000000001" customHeight="1" x14ac:dyDescent="0.3">
      <c r="A195" s="23"/>
      <c r="B195" s="23"/>
      <c r="C195" s="21"/>
      <c r="D195" s="18"/>
      <c r="E195" s="18"/>
      <c r="F195" s="18"/>
      <c r="G195" s="18"/>
      <c r="H195" s="18"/>
      <c r="I195" s="18"/>
      <c r="J195" s="18"/>
      <c r="K195" s="18"/>
      <c r="L195" s="18"/>
      <c r="M195" s="21"/>
    </row>
    <row r="196" spans="1:51" ht="20.100000000000001" customHeight="1" x14ac:dyDescent="0.3">
      <c r="A196" s="23"/>
      <c r="B196" s="23"/>
      <c r="C196" s="21"/>
      <c r="D196" s="18"/>
      <c r="E196" s="18"/>
      <c r="F196" s="18"/>
      <c r="G196" s="18"/>
      <c r="H196" s="18"/>
      <c r="I196" s="18"/>
      <c r="J196" s="18"/>
      <c r="K196" s="18"/>
      <c r="L196" s="18"/>
      <c r="M196" s="21"/>
    </row>
    <row r="197" spans="1:51" ht="20.100000000000001" customHeight="1" x14ac:dyDescent="0.3">
      <c r="A197" s="23"/>
      <c r="B197" s="23"/>
      <c r="C197" s="21"/>
      <c r="D197" s="18"/>
      <c r="E197" s="18"/>
      <c r="F197" s="18"/>
      <c r="G197" s="18"/>
      <c r="H197" s="18"/>
      <c r="I197" s="18"/>
      <c r="J197" s="18"/>
      <c r="K197" s="18"/>
      <c r="L197" s="18"/>
      <c r="M197" s="21"/>
    </row>
    <row r="198" spans="1:51" ht="20.100000000000001" customHeight="1" x14ac:dyDescent="0.3">
      <c r="A198" s="23"/>
      <c r="B198" s="23"/>
      <c r="C198" s="21"/>
      <c r="D198" s="18"/>
      <c r="E198" s="18"/>
      <c r="F198" s="18"/>
      <c r="G198" s="18"/>
      <c r="H198" s="18"/>
      <c r="I198" s="18"/>
      <c r="J198" s="18"/>
      <c r="K198" s="18"/>
      <c r="L198" s="18"/>
      <c r="M198" s="21"/>
    </row>
    <row r="199" spans="1:51" ht="20.100000000000001" customHeight="1" x14ac:dyDescent="0.3">
      <c r="A199" s="23"/>
      <c r="B199" s="23"/>
      <c r="C199" s="21"/>
      <c r="D199" s="18"/>
      <c r="E199" s="18"/>
      <c r="F199" s="18"/>
      <c r="G199" s="18"/>
      <c r="H199" s="18"/>
      <c r="I199" s="18"/>
      <c r="J199" s="18"/>
      <c r="K199" s="18"/>
      <c r="L199" s="18"/>
      <c r="M199" s="21"/>
    </row>
    <row r="200" spans="1:51" ht="20.100000000000001" customHeight="1" x14ac:dyDescent="0.3">
      <c r="A200" s="23"/>
      <c r="B200" s="23"/>
      <c r="C200" s="21"/>
      <c r="D200" s="18"/>
      <c r="E200" s="18"/>
      <c r="F200" s="18"/>
      <c r="G200" s="18"/>
      <c r="H200" s="18"/>
      <c r="I200" s="18"/>
      <c r="J200" s="18"/>
      <c r="K200" s="18"/>
      <c r="L200" s="18"/>
      <c r="M200" s="21"/>
    </row>
    <row r="201" spans="1:51" ht="20.100000000000001" customHeight="1" x14ac:dyDescent="0.3">
      <c r="A201" s="23"/>
      <c r="B201" s="23"/>
      <c r="C201" s="21"/>
      <c r="D201" s="18"/>
      <c r="E201" s="18"/>
      <c r="F201" s="18"/>
      <c r="G201" s="18"/>
      <c r="H201" s="18"/>
      <c r="I201" s="18"/>
      <c r="J201" s="18"/>
      <c r="K201" s="18"/>
      <c r="L201" s="18"/>
      <c r="M201" s="21"/>
    </row>
    <row r="202" spans="1:51" ht="20.100000000000001" customHeight="1" x14ac:dyDescent="0.3">
      <c r="A202" s="20" t="s">
        <v>68</v>
      </c>
      <c r="B202" s="6"/>
      <c r="C202" s="17"/>
      <c r="D202" s="4"/>
      <c r="E202" s="18"/>
      <c r="F202" s="4">
        <f>ROUNDDOWN(SUMIF(Q182:Q201, "1", F182:F201), 0)</f>
        <v>0</v>
      </c>
      <c r="G202" s="18"/>
      <c r="H202" s="4">
        <f>ROUNDDOWN(SUMIF(Q182:Q201, "1", H182:H201), 0)</f>
        <v>0</v>
      </c>
      <c r="I202" s="18"/>
      <c r="J202" s="4">
        <f>ROUNDDOWN(SUMIF(Q182:Q201, "1", J182:J201), 0)</f>
        <v>0</v>
      </c>
      <c r="K202" s="18"/>
      <c r="L202" s="4">
        <f>F202+H202+J202</f>
        <v>0</v>
      </c>
      <c r="M202" s="17"/>
      <c r="R202">
        <f t="shared" ref="R202:AY202" si="187">ROUNDDOWN(SUM(R182:R187), 0)</f>
        <v>0</v>
      </c>
      <c r="S202">
        <f t="shared" si="187"/>
        <v>0</v>
      </c>
      <c r="T202">
        <f t="shared" si="187"/>
        <v>0</v>
      </c>
      <c r="U202">
        <f t="shared" si="187"/>
        <v>0</v>
      </c>
      <c r="V202">
        <f t="shared" si="187"/>
        <v>0</v>
      </c>
      <c r="W202">
        <f t="shared" si="187"/>
        <v>0</v>
      </c>
      <c r="X202">
        <f t="shared" si="187"/>
        <v>0</v>
      </c>
      <c r="Y202">
        <f t="shared" si="187"/>
        <v>0</v>
      </c>
      <c r="Z202">
        <f t="shared" si="187"/>
        <v>0</v>
      </c>
      <c r="AA202">
        <f t="shared" si="187"/>
        <v>0</v>
      </c>
      <c r="AB202">
        <f t="shared" si="187"/>
        <v>0</v>
      </c>
      <c r="AC202">
        <f t="shared" si="187"/>
        <v>0</v>
      </c>
      <c r="AD202">
        <f t="shared" si="187"/>
        <v>0</v>
      </c>
      <c r="AE202">
        <f t="shared" si="187"/>
        <v>0</v>
      </c>
      <c r="AF202">
        <f t="shared" si="187"/>
        <v>0</v>
      </c>
      <c r="AG202">
        <f t="shared" si="187"/>
        <v>0</v>
      </c>
      <c r="AH202">
        <f t="shared" si="187"/>
        <v>0</v>
      </c>
      <c r="AI202">
        <f t="shared" si="187"/>
        <v>0</v>
      </c>
      <c r="AJ202">
        <f t="shared" si="187"/>
        <v>0</v>
      </c>
      <c r="AK202">
        <f t="shared" si="187"/>
        <v>0</v>
      </c>
      <c r="AL202">
        <f t="shared" si="187"/>
        <v>0</v>
      </c>
      <c r="AM202">
        <f t="shared" si="187"/>
        <v>0</v>
      </c>
      <c r="AN202">
        <f t="shared" si="187"/>
        <v>0</v>
      </c>
      <c r="AO202">
        <f t="shared" si="187"/>
        <v>0</v>
      </c>
      <c r="AP202">
        <f t="shared" si="187"/>
        <v>0</v>
      </c>
      <c r="AQ202">
        <f t="shared" si="187"/>
        <v>0</v>
      </c>
      <c r="AR202">
        <f t="shared" si="187"/>
        <v>0</v>
      </c>
      <c r="AS202">
        <f t="shared" si="187"/>
        <v>0</v>
      </c>
      <c r="AT202">
        <f t="shared" si="187"/>
        <v>0</v>
      </c>
      <c r="AU202">
        <f t="shared" si="187"/>
        <v>0</v>
      </c>
      <c r="AV202">
        <f t="shared" si="187"/>
        <v>0</v>
      </c>
      <c r="AW202">
        <f t="shared" si="187"/>
        <v>0</v>
      </c>
      <c r="AX202">
        <f t="shared" si="187"/>
        <v>0</v>
      </c>
      <c r="AY202">
        <f t="shared" si="187"/>
        <v>0</v>
      </c>
    </row>
    <row r="203" spans="1:51" ht="20.100000000000001" customHeight="1" x14ac:dyDescent="0.3">
      <c r="A203" s="67" t="s">
        <v>155</v>
      </c>
      <c r="B203" s="68"/>
      <c r="C203" s="68"/>
      <c r="D203" s="69"/>
      <c r="E203" s="69"/>
      <c r="F203" s="69"/>
      <c r="G203" s="69"/>
      <c r="H203" s="69"/>
      <c r="I203" s="69"/>
      <c r="J203" s="69"/>
      <c r="K203" s="69"/>
      <c r="L203" s="69"/>
      <c r="M203" s="68"/>
    </row>
    <row r="204" spans="1:51" ht="20.100000000000001" customHeight="1" x14ac:dyDescent="0.3">
      <c r="A204" s="25" t="s">
        <v>154</v>
      </c>
      <c r="B204" s="25" t="s">
        <v>153</v>
      </c>
      <c r="C204" s="24" t="s">
        <v>152</v>
      </c>
      <c r="D204" s="18">
        <v>1</v>
      </c>
      <c r="E204" s="18"/>
      <c r="F204" s="18"/>
      <c r="G204" s="18"/>
      <c r="H204" s="18"/>
      <c r="I204" s="18"/>
      <c r="J204" s="18"/>
      <c r="K204" s="18"/>
      <c r="L204" s="18"/>
      <c r="M204" s="21"/>
      <c r="O204" t="str">
        <f>""</f>
        <v/>
      </c>
      <c r="P204" s="5" t="s">
        <v>117</v>
      </c>
      <c r="Q204">
        <v>1</v>
      </c>
      <c r="R204">
        <f>IF(P204="기계경비", J204, 0)</f>
        <v>0</v>
      </c>
      <c r="S204">
        <f>IF(P204="운반비", L204, 0)</f>
        <v>0</v>
      </c>
      <c r="T204">
        <f>IF(P204="작업부산물", F204, 0)</f>
        <v>0</v>
      </c>
      <c r="U204">
        <f>IF(P204="관급", F204, 0)</f>
        <v>0</v>
      </c>
      <c r="V204">
        <f>IF(P204="외주비", J204, 0)</f>
        <v>0</v>
      </c>
      <c r="W204">
        <f>IF(P204="장비비", J204, 0)</f>
        <v>0</v>
      </c>
      <c r="X204">
        <f>IF(P204="폐기물처리비", L204, 0)</f>
        <v>0</v>
      </c>
      <c r="Y204">
        <f>IF(P204="가설비", J204, 0)</f>
        <v>0</v>
      </c>
      <c r="Z204">
        <f>IF(P204="잡비제외분", F204, 0)</f>
        <v>0</v>
      </c>
      <c r="AA204">
        <f>IF(P204="사급자재대", L204, 0)</f>
        <v>0</v>
      </c>
      <c r="AB204">
        <f>IF(P204="관급자재대", L204, 0)</f>
        <v>0</v>
      </c>
      <c r="AC204">
        <f>IF(P204="관급자관급", L204, 0)</f>
        <v>0</v>
      </c>
      <c r="AD204">
        <f>IF(P204="품질시험비", L204, 0)</f>
        <v>0</v>
      </c>
      <c r="AE204">
        <f>IF(P204="수도광열비", L204, 0)</f>
        <v>0</v>
      </c>
      <c r="AF204">
        <f>IF(P204="공기중석면농도측정비", L204, 0)</f>
        <v>0</v>
      </c>
      <c r="AG204">
        <f>IF(P204="사용자항목5", L204, 0)</f>
        <v>0</v>
      </c>
      <c r="AH204">
        <f>IF(P204="사용자항목6", L204, 0)</f>
        <v>0</v>
      </c>
      <c r="AI204">
        <f>IF(P204="사용자항목7", L204, 0)</f>
        <v>0</v>
      </c>
      <c r="AJ204">
        <f>IF(P204="관급자재대2", L204, 0)</f>
        <v>0</v>
      </c>
      <c r="AK204">
        <f>IF(P204="작업부산물", L204, 0)</f>
        <v>0</v>
      </c>
      <c r="AL204">
        <f>IF(P204="해체계획비및검토비", L204, 0)</f>
        <v>0</v>
      </c>
      <c r="AM204">
        <f>IF(P204="사용자항목11", L204, 0)</f>
        <v>0</v>
      </c>
      <c r="AN204">
        <f>IF(P204="사용자항목12", L204, 0)</f>
        <v>0</v>
      </c>
      <c r="AO204">
        <f>IF(P204="사용자항목13", L204, 0)</f>
        <v>0</v>
      </c>
      <c r="AP204">
        <f>IF(P204="사용자항목14", L204, 0)</f>
        <v>0</v>
      </c>
      <c r="AQ204">
        <f>IF(P204="사용자항목15", L204, 0)</f>
        <v>0</v>
      </c>
      <c r="AR204">
        <f>IF(P204="사용자항목16", L204, 0)</f>
        <v>0</v>
      </c>
      <c r="AS204">
        <f>IF(P204="사용자항목17", L204, 0)</f>
        <v>0</v>
      </c>
      <c r="AT204">
        <f>IF(P204="사용자항목18", L204, 0)</f>
        <v>0</v>
      </c>
      <c r="AU204">
        <f>IF(P204="사용자항목19", L204, 0)</f>
        <v>0</v>
      </c>
    </row>
    <row r="205" spans="1:51" ht="20.100000000000001" customHeight="1" x14ac:dyDescent="0.3">
      <c r="A205" s="23"/>
      <c r="B205" s="23"/>
      <c r="C205" s="21"/>
      <c r="D205" s="18"/>
      <c r="E205" s="18"/>
      <c r="F205" s="18"/>
      <c r="G205" s="18"/>
      <c r="H205" s="18"/>
      <c r="I205" s="18"/>
      <c r="J205" s="18"/>
      <c r="K205" s="18"/>
      <c r="L205" s="18"/>
      <c r="M205" s="21"/>
    </row>
    <row r="206" spans="1:51" ht="20.100000000000001" customHeight="1" x14ac:dyDescent="0.3">
      <c r="A206" s="23"/>
      <c r="B206" s="23"/>
      <c r="C206" s="21"/>
      <c r="D206" s="18"/>
      <c r="E206" s="18"/>
      <c r="F206" s="18"/>
      <c r="G206" s="18"/>
      <c r="H206" s="18"/>
      <c r="I206" s="18"/>
      <c r="J206" s="18"/>
      <c r="K206" s="18"/>
      <c r="L206" s="18"/>
      <c r="M206" s="21"/>
    </row>
    <row r="207" spans="1:51" ht="20.100000000000001" customHeight="1" x14ac:dyDescent="0.3">
      <c r="A207" s="23"/>
      <c r="B207" s="23"/>
      <c r="C207" s="21"/>
      <c r="D207" s="18"/>
      <c r="E207" s="18"/>
      <c r="F207" s="18"/>
      <c r="G207" s="18"/>
      <c r="H207" s="18"/>
      <c r="I207" s="18"/>
      <c r="J207" s="18"/>
      <c r="K207" s="18"/>
      <c r="L207" s="18"/>
      <c r="M207" s="21"/>
    </row>
    <row r="208" spans="1:51" ht="20.100000000000001" customHeight="1" x14ac:dyDescent="0.3">
      <c r="A208" s="23"/>
      <c r="B208" s="23"/>
      <c r="C208" s="21"/>
      <c r="D208" s="18"/>
      <c r="E208" s="18"/>
      <c r="F208" s="18"/>
      <c r="G208" s="18"/>
      <c r="H208" s="18"/>
      <c r="I208" s="18"/>
      <c r="J208" s="18"/>
      <c r="K208" s="18"/>
      <c r="L208" s="18"/>
      <c r="M208" s="21"/>
    </row>
    <row r="209" spans="1:51" ht="20.100000000000001" customHeight="1" x14ac:dyDescent="0.3">
      <c r="A209" s="23"/>
      <c r="B209" s="23"/>
      <c r="C209" s="21"/>
      <c r="D209" s="18"/>
      <c r="E209" s="18"/>
      <c r="F209" s="18"/>
      <c r="G209" s="18"/>
      <c r="H209" s="18"/>
      <c r="I209" s="18"/>
      <c r="J209" s="18"/>
      <c r="K209" s="18"/>
      <c r="L209" s="18"/>
      <c r="M209" s="21"/>
    </row>
    <row r="210" spans="1:51" ht="20.100000000000001" customHeight="1" x14ac:dyDescent="0.3">
      <c r="A210" s="23"/>
      <c r="B210" s="23"/>
      <c r="C210" s="21"/>
      <c r="D210" s="18"/>
      <c r="E210" s="18"/>
      <c r="F210" s="18"/>
      <c r="G210" s="18"/>
      <c r="H210" s="18"/>
      <c r="I210" s="18"/>
      <c r="J210" s="18"/>
      <c r="K210" s="18"/>
      <c r="L210" s="18"/>
      <c r="M210" s="21"/>
    </row>
    <row r="211" spans="1:51" ht="20.100000000000001" customHeight="1" x14ac:dyDescent="0.3">
      <c r="A211" s="23"/>
      <c r="B211" s="23"/>
      <c r="C211" s="21"/>
      <c r="D211" s="18"/>
      <c r="E211" s="18"/>
      <c r="F211" s="18"/>
      <c r="G211" s="18"/>
      <c r="H211" s="18"/>
      <c r="I211" s="18"/>
      <c r="J211" s="18"/>
      <c r="K211" s="18"/>
      <c r="L211" s="18"/>
      <c r="M211" s="21"/>
    </row>
    <row r="212" spans="1:51" ht="20.100000000000001" customHeight="1" x14ac:dyDescent="0.3">
      <c r="A212" s="23"/>
      <c r="B212" s="23"/>
      <c r="C212" s="21"/>
      <c r="D212" s="18"/>
      <c r="E212" s="18"/>
      <c r="F212" s="18"/>
      <c r="G212" s="18"/>
      <c r="H212" s="18"/>
      <c r="I212" s="18"/>
      <c r="J212" s="18"/>
      <c r="K212" s="18"/>
      <c r="L212" s="18"/>
      <c r="M212" s="21"/>
    </row>
    <row r="213" spans="1:51" ht="20.100000000000001" customHeight="1" x14ac:dyDescent="0.3">
      <c r="A213" s="23"/>
      <c r="B213" s="23"/>
      <c r="C213" s="21"/>
      <c r="D213" s="18"/>
      <c r="E213" s="18"/>
      <c r="F213" s="18"/>
      <c r="G213" s="18"/>
      <c r="H213" s="18"/>
      <c r="I213" s="18"/>
      <c r="J213" s="18"/>
      <c r="K213" s="18"/>
      <c r="L213" s="18"/>
      <c r="M213" s="21"/>
    </row>
    <row r="214" spans="1:51" ht="20.100000000000001" customHeight="1" x14ac:dyDescent="0.3">
      <c r="A214" s="23"/>
      <c r="B214" s="23"/>
      <c r="C214" s="21"/>
      <c r="D214" s="18"/>
      <c r="E214" s="18"/>
      <c r="F214" s="18"/>
      <c r="G214" s="18"/>
      <c r="H214" s="18"/>
      <c r="I214" s="18"/>
      <c r="J214" s="18"/>
      <c r="K214" s="18"/>
      <c r="L214" s="18"/>
      <c r="M214" s="21"/>
    </row>
    <row r="215" spans="1:51" ht="20.100000000000001" customHeight="1" x14ac:dyDescent="0.3">
      <c r="A215" s="23"/>
      <c r="B215" s="23"/>
      <c r="C215" s="21"/>
      <c r="D215" s="18"/>
      <c r="E215" s="18"/>
      <c r="F215" s="18"/>
      <c r="G215" s="18"/>
      <c r="H215" s="18"/>
      <c r="I215" s="18"/>
      <c r="J215" s="18"/>
      <c r="K215" s="18"/>
      <c r="L215" s="18"/>
      <c r="M215" s="21"/>
    </row>
    <row r="216" spans="1:51" ht="20.100000000000001" customHeight="1" x14ac:dyDescent="0.3">
      <c r="A216" s="23"/>
      <c r="B216" s="23"/>
      <c r="C216" s="21"/>
      <c r="D216" s="18"/>
      <c r="E216" s="18"/>
      <c r="F216" s="18"/>
      <c r="G216" s="18"/>
      <c r="H216" s="18"/>
      <c r="I216" s="18"/>
      <c r="J216" s="18"/>
      <c r="K216" s="18"/>
      <c r="L216" s="18"/>
      <c r="M216" s="21"/>
    </row>
    <row r="217" spans="1:51" ht="20.100000000000001" customHeight="1" x14ac:dyDescent="0.3">
      <c r="A217" s="23"/>
      <c r="B217" s="23"/>
      <c r="C217" s="21"/>
      <c r="D217" s="18"/>
      <c r="E217" s="18"/>
      <c r="F217" s="18"/>
      <c r="G217" s="18"/>
      <c r="H217" s="18"/>
      <c r="I217" s="18"/>
      <c r="J217" s="18"/>
      <c r="K217" s="18"/>
      <c r="L217" s="18"/>
      <c r="M217" s="21"/>
    </row>
    <row r="218" spans="1:51" ht="20.100000000000001" customHeight="1" x14ac:dyDescent="0.3">
      <c r="A218" s="23"/>
      <c r="B218" s="23"/>
      <c r="C218" s="21"/>
      <c r="D218" s="18"/>
      <c r="E218" s="18"/>
      <c r="F218" s="18"/>
      <c r="G218" s="18"/>
      <c r="H218" s="18"/>
      <c r="I218" s="18"/>
      <c r="J218" s="18"/>
      <c r="K218" s="18"/>
      <c r="L218" s="18"/>
      <c r="M218" s="21"/>
    </row>
    <row r="219" spans="1:51" ht="20.100000000000001" customHeight="1" x14ac:dyDescent="0.3">
      <c r="A219" s="23"/>
      <c r="B219" s="23"/>
      <c r="C219" s="21"/>
      <c r="D219" s="18"/>
      <c r="E219" s="18"/>
      <c r="F219" s="18"/>
      <c r="G219" s="18"/>
      <c r="H219" s="18"/>
      <c r="I219" s="18"/>
      <c r="J219" s="18"/>
      <c r="K219" s="18"/>
      <c r="L219" s="18"/>
      <c r="M219" s="21"/>
    </row>
    <row r="220" spans="1:51" ht="20.100000000000001" customHeight="1" x14ac:dyDescent="0.3">
      <c r="A220" s="23"/>
      <c r="B220" s="23"/>
      <c r="C220" s="21"/>
      <c r="D220" s="18"/>
      <c r="E220" s="18"/>
      <c r="F220" s="18"/>
      <c r="G220" s="18"/>
      <c r="H220" s="18"/>
      <c r="I220" s="18"/>
      <c r="J220" s="18"/>
      <c r="K220" s="18"/>
      <c r="L220" s="18"/>
      <c r="M220" s="21"/>
    </row>
    <row r="221" spans="1:51" ht="20.100000000000001" customHeight="1" x14ac:dyDescent="0.3">
      <c r="A221" s="23"/>
      <c r="B221" s="23"/>
      <c r="C221" s="21"/>
      <c r="D221" s="18"/>
      <c r="E221" s="18"/>
      <c r="F221" s="18"/>
      <c r="G221" s="18"/>
      <c r="H221" s="18"/>
      <c r="I221" s="18"/>
      <c r="J221" s="18"/>
      <c r="K221" s="18"/>
      <c r="L221" s="18"/>
      <c r="M221" s="21"/>
    </row>
    <row r="222" spans="1:51" ht="20.100000000000001" customHeight="1" x14ac:dyDescent="0.3">
      <c r="A222" s="23"/>
      <c r="B222" s="23"/>
      <c r="C222" s="21"/>
      <c r="D222" s="18"/>
      <c r="E222" s="18"/>
      <c r="F222" s="18"/>
      <c r="G222" s="18"/>
      <c r="H222" s="18"/>
      <c r="I222" s="18"/>
      <c r="J222" s="18"/>
      <c r="K222" s="18"/>
      <c r="L222" s="18"/>
      <c r="M222" s="21"/>
    </row>
    <row r="223" spans="1:51" ht="20.100000000000001" customHeight="1" x14ac:dyDescent="0.3">
      <c r="A223" s="23"/>
      <c r="B223" s="23"/>
      <c r="C223" s="21"/>
      <c r="D223" s="18"/>
      <c r="E223" s="18"/>
      <c r="F223" s="18"/>
      <c r="G223" s="18"/>
      <c r="H223" s="18"/>
      <c r="I223" s="18"/>
      <c r="J223" s="18"/>
      <c r="K223" s="18"/>
      <c r="L223" s="18"/>
      <c r="M223" s="21"/>
    </row>
    <row r="224" spans="1:51" ht="20.100000000000001" customHeight="1" x14ac:dyDescent="0.3">
      <c r="A224" s="20" t="s">
        <v>68</v>
      </c>
      <c r="B224" s="6"/>
      <c r="C224" s="17"/>
      <c r="D224" s="4"/>
      <c r="E224" s="18"/>
      <c r="F224" s="4">
        <f>ROUNDDOWN(SUMIF(Q204:Q223, "1", F204:F223), 0)</f>
        <v>0</v>
      </c>
      <c r="G224" s="18"/>
      <c r="H224" s="4">
        <f>ROUNDDOWN(SUMIF(Q204:Q223, "1", H204:H223), 0)</f>
        <v>0</v>
      </c>
      <c r="I224" s="18"/>
      <c r="J224" s="4">
        <f>ROUNDDOWN(SUMIF(Q204:Q223, "1", J204:J223), 0)</f>
        <v>0</v>
      </c>
      <c r="K224" s="18"/>
      <c r="L224" s="4">
        <f>F224+H224+J224</f>
        <v>0</v>
      </c>
      <c r="M224" s="17"/>
      <c r="R224">
        <f t="shared" ref="R224:AY224" si="188">ROUNDDOWN(SUM(R204:R204), 0)</f>
        <v>0</v>
      </c>
      <c r="S224">
        <f t="shared" si="188"/>
        <v>0</v>
      </c>
      <c r="T224">
        <f t="shared" si="188"/>
        <v>0</v>
      </c>
      <c r="U224">
        <f t="shared" si="188"/>
        <v>0</v>
      </c>
      <c r="V224">
        <f t="shared" si="188"/>
        <v>0</v>
      </c>
      <c r="W224">
        <f t="shared" si="188"/>
        <v>0</v>
      </c>
      <c r="X224">
        <f t="shared" si="188"/>
        <v>0</v>
      </c>
      <c r="Y224">
        <f t="shared" si="188"/>
        <v>0</v>
      </c>
      <c r="Z224">
        <f t="shared" si="188"/>
        <v>0</v>
      </c>
      <c r="AA224">
        <f t="shared" si="188"/>
        <v>0</v>
      </c>
      <c r="AB224">
        <f t="shared" si="188"/>
        <v>0</v>
      </c>
      <c r="AC224">
        <f t="shared" si="188"/>
        <v>0</v>
      </c>
      <c r="AD224">
        <f t="shared" si="188"/>
        <v>0</v>
      </c>
      <c r="AE224">
        <f t="shared" si="188"/>
        <v>0</v>
      </c>
      <c r="AF224">
        <f t="shared" si="188"/>
        <v>0</v>
      </c>
      <c r="AG224">
        <f t="shared" si="188"/>
        <v>0</v>
      </c>
      <c r="AH224">
        <f t="shared" si="188"/>
        <v>0</v>
      </c>
      <c r="AI224">
        <f t="shared" si="188"/>
        <v>0</v>
      </c>
      <c r="AJ224">
        <f t="shared" si="188"/>
        <v>0</v>
      </c>
      <c r="AK224">
        <f t="shared" si="188"/>
        <v>0</v>
      </c>
      <c r="AL224">
        <f t="shared" si="188"/>
        <v>0</v>
      </c>
      <c r="AM224">
        <f t="shared" si="188"/>
        <v>0</v>
      </c>
      <c r="AN224">
        <f t="shared" si="188"/>
        <v>0</v>
      </c>
      <c r="AO224">
        <f t="shared" si="188"/>
        <v>0</v>
      </c>
      <c r="AP224">
        <f t="shared" si="188"/>
        <v>0</v>
      </c>
      <c r="AQ224">
        <f t="shared" si="188"/>
        <v>0</v>
      </c>
      <c r="AR224">
        <f t="shared" si="188"/>
        <v>0</v>
      </c>
      <c r="AS224">
        <f t="shared" si="188"/>
        <v>0</v>
      </c>
      <c r="AT224">
        <f t="shared" si="188"/>
        <v>0</v>
      </c>
      <c r="AU224">
        <f t="shared" si="188"/>
        <v>0</v>
      </c>
      <c r="AV224">
        <f t="shared" si="188"/>
        <v>0</v>
      </c>
      <c r="AW224">
        <f t="shared" si="188"/>
        <v>0</v>
      </c>
      <c r="AX224">
        <f t="shared" si="188"/>
        <v>0</v>
      </c>
      <c r="AY224">
        <f t="shared" si="188"/>
        <v>0</v>
      </c>
    </row>
    <row r="225" spans="1:47" ht="20.100000000000001" customHeight="1" x14ac:dyDescent="0.3">
      <c r="A225" s="67" t="s">
        <v>151</v>
      </c>
      <c r="B225" s="68"/>
      <c r="C225" s="68"/>
      <c r="D225" s="69"/>
      <c r="E225" s="69"/>
      <c r="F225" s="69"/>
      <c r="G225" s="69"/>
      <c r="H225" s="69"/>
      <c r="I225" s="69"/>
      <c r="J225" s="69"/>
      <c r="K225" s="69"/>
      <c r="L225" s="69"/>
      <c r="M225" s="68"/>
    </row>
    <row r="226" spans="1:47" ht="20.100000000000001" customHeight="1" x14ac:dyDescent="0.3">
      <c r="A226" s="25" t="s">
        <v>150</v>
      </c>
      <c r="B226" s="25" t="s">
        <v>149</v>
      </c>
      <c r="C226" s="24" t="s">
        <v>148</v>
      </c>
      <c r="D226" s="18">
        <v>-559.4</v>
      </c>
      <c r="E226" s="18"/>
      <c r="F226" s="18"/>
      <c r="G226" s="18"/>
      <c r="H226" s="18"/>
      <c r="I226" s="18"/>
      <c r="J226" s="18"/>
      <c r="K226" s="18"/>
      <c r="L226" s="18"/>
      <c r="M226" s="21"/>
      <c r="O226" t="str">
        <f>"01"</f>
        <v>01</v>
      </c>
      <c r="P226" t="s">
        <v>99</v>
      </c>
      <c r="Q226">
        <v>1</v>
      </c>
      <c r="R226">
        <f>IF(P226="기계경비", J226, 0)</f>
        <v>0</v>
      </c>
      <c r="S226">
        <f>IF(P226="운반비", L226, 0)</f>
        <v>0</v>
      </c>
      <c r="T226">
        <f>IF(P226="작업부산물", F226, 0)</f>
        <v>0</v>
      </c>
      <c r="U226">
        <f>IF(P226="관급", F226, 0)</f>
        <v>0</v>
      </c>
      <c r="V226">
        <f>IF(P226="외주비", J226, 0)</f>
        <v>0</v>
      </c>
      <c r="W226">
        <f>IF(P226="장비비", J226, 0)</f>
        <v>0</v>
      </c>
      <c r="X226">
        <f>IF(P226="폐기물처리비", L226, 0)</f>
        <v>0</v>
      </c>
      <c r="Y226">
        <f>IF(P226="가설비", J226, 0)</f>
        <v>0</v>
      </c>
      <c r="Z226">
        <f>IF(P226="잡비제외분", F226, 0)</f>
        <v>0</v>
      </c>
      <c r="AA226">
        <f>IF(P226="사급자재대", L226, 0)</f>
        <v>0</v>
      </c>
      <c r="AB226">
        <f>IF(P226="관급자재대", L226, 0)</f>
        <v>0</v>
      </c>
      <c r="AC226">
        <f>IF(P226="관급자관급", L226, 0)</f>
        <v>0</v>
      </c>
      <c r="AD226">
        <f>IF(P226="품질시험비", L226, 0)</f>
        <v>0</v>
      </c>
      <c r="AE226">
        <f>IF(P226="수도광열비", L226, 0)</f>
        <v>0</v>
      </c>
      <c r="AF226">
        <f>IF(P226="공기중석면농도측정비", L226, 0)</f>
        <v>0</v>
      </c>
      <c r="AG226">
        <f>IF(P226="사용자항목5", L226, 0)</f>
        <v>0</v>
      </c>
      <c r="AH226">
        <f>IF(P226="사용자항목6", L226, 0)</f>
        <v>0</v>
      </c>
      <c r="AI226">
        <f>IF(P226="사용자항목7", L226, 0)</f>
        <v>0</v>
      </c>
      <c r="AJ226">
        <f>IF(P226="관급자재대2", L226, 0)</f>
        <v>0</v>
      </c>
      <c r="AK226">
        <f>IF(P226="작업부산물", L226, 0)</f>
        <v>0</v>
      </c>
      <c r="AL226">
        <f>IF(P226="해체계획비및검토비", L226, 0)</f>
        <v>0</v>
      </c>
      <c r="AM226">
        <f>IF(P226="사용자항목11", L226, 0)</f>
        <v>0</v>
      </c>
      <c r="AN226">
        <f>IF(P226="사용자항목12", L226, 0)</f>
        <v>0</v>
      </c>
      <c r="AO226">
        <f>IF(P226="사용자항목13", L226, 0)</f>
        <v>0</v>
      </c>
      <c r="AP226">
        <f>IF(P226="사용자항목14", L226, 0)</f>
        <v>0</v>
      </c>
      <c r="AQ226">
        <f>IF(P226="사용자항목15", L226, 0)</f>
        <v>0</v>
      </c>
      <c r="AR226">
        <f>IF(P226="사용자항목16", L226, 0)</f>
        <v>0</v>
      </c>
      <c r="AS226">
        <f>IF(P226="사용자항목17", L226, 0)</f>
        <v>0</v>
      </c>
      <c r="AT226">
        <f>IF(P226="사용자항목18", L226, 0)</f>
        <v>0</v>
      </c>
      <c r="AU226">
        <f>IF(P226="사용자항목19", L226, 0)</f>
        <v>0</v>
      </c>
    </row>
    <row r="227" spans="1:47" ht="20.100000000000001" customHeight="1" x14ac:dyDescent="0.3">
      <c r="A227" s="23"/>
      <c r="B227" s="23"/>
      <c r="C227" s="21"/>
      <c r="D227" s="18"/>
      <c r="E227" s="18"/>
      <c r="F227" s="18"/>
      <c r="G227" s="18"/>
      <c r="H227" s="18"/>
      <c r="I227" s="18"/>
      <c r="J227" s="18"/>
      <c r="K227" s="18"/>
      <c r="L227" s="18"/>
      <c r="M227" s="21"/>
    </row>
    <row r="228" spans="1:47" ht="20.100000000000001" customHeight="1" x14ac:dyDescent="0.3">
      <c r="A228" s="23"/>
      <c r="B228" s="23"/>
      <c r="C228" s="21"/>
      <c r="D228" s="18"/>
      <c r="E228" s="18"/>
      <c r="F228" s="18"/>
      <c r="G228" s="18"/>
      <c r="H228" s="18"/>
      <c r="I228" s="18"/>
      <c r="J228" s="18"/>
      <c r="K228" s="18"/>
      <c r="L228" s="18"/>
      <c r="M228" s="21"/>
    </row>
    <row r="229" spans="1:47" ht="20.100000000000001" customHeight="1" x14ac:dyDescent="0.3">
      <c r="A229" s="23"/>
      <c r="B229" s="23"/>
      <c r="C229" s="21"/>
      <c r="D229" s="18"/>
      <c r="E229" s="18"/>
      <c r="F229" s="18"/>
      <c r="G229" s="18"/>
      <c r="H229" s="18"/>
      <c r="I229" s="18"/>
      <c r="J229" s="18"/>
      <c r="K229" s="18"/>
      <c r="L229" s="18"/>
      <c r="M229" s="21"/>
    </row>
    <row r="230" spans="1:47" ht="20.100000000000001" customHeight="1" x14ac:dyDescent="0.3">
      <c r="A230" s="23"/>
      <c r="B230" s="23"/>
      <c r="C230" s="21"/>
      <c r="D230" s="18"/>
      <c r="E230" s="18"/>
      <c r="F230" s="18"/>
      <c r="G230" s="18"/>
      <c r="H230" s="18"/>
      <c r="I230" s="18"/>
      <c r="J230" s="18"/>
      <c r="K230" s="18"/>
      <c r="L230" s="18"/>
      <c r="M230" s="21"/>
    </row>
    <row r="231" spans="1:47" ht="20.100000000000001" customHeight="1" x14ac:dyDescent="0.3">
      <c r="A231" s="23"/>
      <c r="B231" s="23"/>
      <c r="C231" s="21"/>
      <c r="D231" s="18"/>
      <c r="E231" s="18"/>
      <c r="F231" s="18"/>
      <c r="G231" s="18"/>
      <c r="H231" s="18"/>
      <c r="I231" s="18"/>
      <c r="J231" s="18"/>
      <c r="K231" s="18"/>
      <c r="L231" s="18"/>
      <c r="M231" s="21"/>
    </row>
    <row r="232" spans="1:47" ht="20.100000000000001" customHeight="1" x14ac:dyDescent="0.3">
      <c r="A232" s="23"/>
      <c r="B232" s="23"/>
      <c r="C232" s="21"/>
      <c r="D232" s="18"/>
      <c r="E232" s="18"/>
      <c r="F232" s="18"/>
      <c r="G232" s="18"/>
      <c r="H232" s="18"/>
      <c r="I232" s="18"/>
      <c r="J232" s="18"/>
      <c r="K232" s="18"/>
      <c r="L232" s="18"/>
      <c r="M232" s="21"/>
    </row>
    <row r="233" spans="1:47" ht="20.100000000000001" customHeight="1" x14ac:dyDescent="0.3">
      <c r="A233" s="23"/>
      <c r="B233" s="23"/>
      <c r="C233" s="21"/>
      <c r="D233" s="18"/>
      <c r="E233" s="18"/>
      <c r="F233" s="18"/>
      <c r="G233" s="18"/>
      <c r="H233" s="18"/>
      <c r="I233" s="18"/>
      <c r="J233" s="18"/>
      <c r="K233" s="18"/>
      <c r="L233" s="18"/>
      <c r="M233" s="21"/>
    </row>
    <row r="234" spans="1:47" ht="20.100000000000001" customHeight="1" x14ac:dyDescent="0.3">
      <c r="A234" s="23"/>
      <c r="B234" s="23"/>
      <c r="C234" s="21"/>
      <c r="D234" s="18"/>
      <c r="E234" s="18"/>
      <c r="F234" s="18"/>
      <c r="G234" s="18"/>
      <c r="H234" s="18"/>
      <c r="I234" s="18"/>
      <c r="J234" s="18"/>
      <c r="K234" s="18"/>
      <c r="L234" s="18"/>
      <c r="M234" s="21"/>
    </row>
    <row r="235" spans="1:47" ht="20.100000000000001" customHeight="1" x14ac:dyDescent="0.3">
      <c r="A235" s="23"/>
      <c r="B235" s="23"/>
      <c r="C235" s="21"/>
      <c r="D235" s="18"/>
      <c r="E235" s="18"/>
      <c r="F235" s="18"/>
      <c r="G235" s="18"/>
      <c r="H235" s="18"/>
      <c r="I235" s="18"/>
      <c r="J235" s="18"/>
      <c r="K235" s="18"/>
      <c r="L235" s="18"/>
      <c r="M235" s="21"/>
    </row>
    <row r="236" spans="1:47" ht="20.100000000000001" customHeight="1" x14ac:dyDescent="0.3">
      <c r="A236" s="23"/>
      <c r="B236" s="23"/>
      <c r="C236" s="21"/>
      <c r="D236" s="18"/>
      <c r="E236" s="18"/>
      <c r="F236" s="18"/>
      <c r="G236" s="18"/>
      <c r="H236" s="18"/>
      <c r="I236" s="18"/>
      <c r="J236" s="18"/>
      <c r="K236" s="18"/>
      <c r="L236" s="18"/>
      <c r="M236" s="21"/>
    </row>
    <row r="237" spans="1:47" ht="20.100000000000001" customHeight="1" x14ac:dyDescent="0.3">
      <c r="A237" s="23"/>
      <c r="B237" s="23"/>
      <c r="C237" s="21"/>
      <c r="D237" s="18"/>
      <c r="E237" s="18"/>
      <c r="F237" s="18"/>
      <c r="G237" s="18"/>
      <c r="H237" s="18"/>
      <c r="I237" s="18"/>
      <c r="J237" s="18"/>
      <c r="K237" s="18"/>
      <c r="L237" s="18"/>
      <c r="M237" s="21"/>
    </row>
    <row r="238" spans="1:47" ht="20.100000000000001" customHeight="1" x14ac:dyDescent="0.3">
      <c r="A238" s="23"/>
      <c r="B238" s="23"/>
      <c r="C238" s="21"/>
      <c r="D238" s="18"/>
      <c r="E238" s="18"/>
      <c r="F238" s="18"/>
      <c r="G238" s="18"/>
      <c r="H238" s="18"/>
      <c r="I238" s="18"/>
      <c r="J238" s="18"/>
      <c r="K238" s="18"/>
      <c r="L238" s="18"/>
      <c r="M238" s="21"/>
    </row>
    <row r="239" spans="1:47" ht="20.100000000000001" customHeight="1" x14ac:dyDescent="0.3">
      <c r="A239" s="23"/>
      <c r="B239" s="23"/>
      <c r="C239" s="21"/>
      <c r="D239" s="18"/>
      <c r="E239" s="18"/>
      <c r="F239" s="18"/>
      <c r="G239" s="18"/>
      <c r="H239" s="18"/>
      <c r="I239" s="18"/>
      <c r="J239" s="18"/>
      <c r="K239" s="18"/>
      <c r="L239" s="18"/>
      <c r="M239" s="21"/>
    </row>
    <row r="240" spans="1:47" ht="20.100000000000001" customHeight="1" x14ac:dyDescent="0.3">
      <c r="A240" s="23"/>
      <c r="B240" s="23"/>
      <c r="C240" s="21"/>
      <c r="D240" s="18"/>
      <c r="E240" s="18"/>
      <c r="F240" s="18"/>
      <c r="G240" s="18"/>
      <c r="H240" s="18"/>
      <c r="I240" s="18"/>
      <c r="J240" s="18"/>
      <c r="K240" s="18"/>
      <c r="L240" s="18"/>
      <c r="M240" s="21"/>
    </row>
    <row r="241" spans="1:51" ht="20.100000000000001" customHeight="1" x14ac:dyDescent="0.3">
      <c r="A241" s="23"/>
      <c r="B241" s="23"/>
      <c r="C241" s="21"/>
      <c r="D241" s="18"/>
      <c r="E241" s="18"/>
      <c r="F241" s="18"/>
      <c r="G241" s="18"/>
      <c r="H241" s="18"/>
      <c r="I241" s="18"/>
      <c r="J241" s="18"/>
      <c r="K241" s="18"/>
      <c r="L241" s="18"/>
      <c r="M241" s="21"/>
    </row>
    <row r="242" spans="1:51" ht="20.100000000000001" customHeight="1" x14ac:dyDescent="0.3">
      <c r="A242" s="23"/>
      <c r="B242" s="23"/>
      <c r="C242" s="21"/>
      <c r="D242" s="18"/>
      <c r="E242" s="18"/>
      <c r="F242" s="18"/>
      <c r="G242" s="18"/>
      <c r="H242" s="18"/>
      <c r="I242" s="18"/>
      <c r="J242" s="18"/>
      <c r="K242" s="18"/>
      <c r="L242" s="18"/>
      <c r="M242" s="21"/>
    </row>
    <row r="243" spans="1:51" ht="20.100000000000001" customHeight="1" x14ac:dyDescent="0.3">
      <c r="A243" s="23"/>
      <c r="B243" s="23"/>
      <c r="C243" s="21"/>
      <c r="D243" s="18"/>
      <c r="E243" s="18"/>
      <c r="F243" s="18"/>
      <c r="G243" s="18"/>
      <c r="H243" s="18"/>
      <c r="I243" s="18"/>
      <c r="J243" s="18"/>
      <c r="K243" s="18"/>
      <c r="L243" s="18"/>
      <c r="M243" s="21"/>
    </row>
    <row r="244" spans="1:51" ht="20.100000000000001" customHeight="1" x14ac:dyDescent="0.3">
      <c r="A244" s="23"/>
      <c r="B244" s="23"/>
      <c r="C244" s="21"/>
      <c r="D244" s="18"/>
      <c r="E244" s="18"/>
      <c r="F244" s="18"/>
      <c r="G244" s="18"/>
      <c r="H244" s="18"/>
      <c r="I244" s="18"/>
      <c r="J244" s="18"/>
      <c r="K244" s="18"/>
      <c r="L244" s="18"/>
      <c r="M244" s="21"/>
    </row>
    <row r="245" spans="1:51" ht="20.100000000000001" customHeight="1" x14ac:dyDescent="0.3">
      <c r="A245" s="23"/>
      <c r="B245" s="23"/>
      <c r="C245" s="21"/>
      <c r="D245" s="18"/>
      <c r="E245" s="18"/>
      <c r="F245" s="18"/>
      <c r="G245" s="18"/>
      <c r="H245" s="18"/>
      <c r="I245" s="18"/>
      <c r="J245" s="18"/>
      <c r="K245" s="18"/>
      <c r="L245" s="18"/>
      <c r="M245" s="21"/>
    </row>
    <row r="246" spans="1:51" ht="20.100000000000001" customHeight="1" x14ac:dyDescent="0.3">
      <c r="A246" s="20" t="s">
        <v>68</v>
      </c>
      <c r="B246" s="6"/>
      <c r="C246" s="17"/>
      <c r="D246" s="4"/>
      <c r="E246" s="18"/>
      <c r="F246" s="4">
        <f>ROUNDDOWN(SUMIF(Q226:Q245, "1", F226:F245), 0)</f>
        <v>0</v>
      </c>
      <c r="G246" s="18"/>
      <c r="H246" s="4">
        <f>ROUNDDOWN(SUMIF(Q226:Q245, "1", H226:H245), 0)</f>
        <v>0</v>
      </c>
      <c r="I246" s="18"/>
      <c r="J246" s="4">
        <f>ROUNDDOWN(SUMIF(Q226:Q245, "1", J226:J245), 0)</f>
        <v>0</v>
      </c>
      <c r="K246" s="18"/>
      <c r="L246" s="4">
        <f>F246+H246+J246</f>
        <v>0</v>
      </c>
      <c r="M246" s="17"/>
      <c r="R246">
        <f t="shared" ref="R246:AY246" si="189">ROUNDDOWN(SUM(R226:R226), 0)</f>
        <v>0</v>
      </c>
      <c r="S246">
        <f t="shared" si="189"/>
        <v>0</v>
      </c>
      <c r="T246">
        <f t="shared" si="189"/>
        <v>0</v>
      </c>
      <c r="U246">
        <f t="shared" si="189"/>
        <v>0</v>
      </c>
      <c r="V246">
        <f t="shared" si="189"/>
        <v>0</v>
      </c>
      <c r="W246">
        <f t="shared" si="189"/>
        <v>0</v>
      </c>
      <c r="X246">
        <f t="shared" si="189"/>
        <v>0</v>
      </c>
      <c r="Y246">
        <f t="shared" si="189"/>
        <v>0</v>
      </c>
      <c r="Z246">
        <f t="shared" si="189"/>
        <v>0</v>
      </c>
      <c r="AA246">
        <f t="shared" si="189"/>
        <v>0</v>
      </c>
      <c r="AB246">
        <f t="shared" si="189"/>
        <v>0</v>
      </c>
      <c r="AC246">
        <f t="shared" si="189"/>
        <v>0</v>
      </c>
      <c r="AD246">
        <f t="shared" si="189"/>
        <v>0</v>
      </c>
      <c r="AE246">
        <f t="shared" si="189"/>
        <v>0</v>
      </c>
      <c r="AF246">
        <f t="shared" si="189"/>
        <v>0</v>
      </c>
      <c r="AG246">
        <f t="shared" si="189"/>
        <v>0</v>
      </c>
      <c r="AH246">
        <f t="shared" si="189"/>
        <v>0</v>
      </c>
      <c r="AI246">
        <f t="shared" si="189"/>
        <v>0</v>
      </c>
      <c r="AJ246">
        <f t="shared" si="189"/>
        <v>0</v>
      </c>
      <c r="AK246">
        <f t="shared" si="189"/>
        <v>0</v>
      </c>
      <c r="AL246">
        <f t="shared" si="189"/>
        <v>0</v>
      </c>
      <c r="AM246">
        <f t="shared" si="189"/>
        <v>0</v>
      </c>
      <c r="AN246">
        <f t="shared" si="189"/>
        <v>0</v>
      </c>
      <c r="AO246">
        <f t="shared" si="189"/>
        <v>0</v>
      </c>
      <c r="AP246">
        <f t="shared" si="189"/>
        <v>0</v>
      </c>
      <c r="AQ246">
        <f t="shared" si="189"/>
        <v>0</v>
      </c>
      <c r="AR246">
        <f t="shared" si="189"/>
        <v>0</v>
      </c>
      <c r="AS246">
        <f t="shared" si="189"/>
        <v>0</v>
      </c>
      <c r="AT246">
        <f t="shared" si="189"/>
        <v>0</v>
      </c>
      <c r="AU246">
        <f t="shared" si="189"/>
        <v>0</v>
      </c>
      <c r="AV246">
        <f t="shared" si="189"/>
        <v>0</v>
      </c>
      <c r="AW246">
        <f t="shared" si="189"/>
        <v>0</v>
      </c>
      <c r="AX246">
        <f t="shared" si="189"/>
        <v>0</v>
      </c>
      <c r="AY246">
        <f t="shared" si="189"/>
        <v>0</v>
      </c>
    </row>
    <row r="247" spans="1:51" ht="20.100000000000001" customHeight="1" x14ac:dyDescent="0.3">
      <c r="A247" s="67" t="s">
        <v>147</v>
      </c>
      <c r="B247" s="68"/>
      <c r="C247" s="68"/>
      <c r="D247" s="69"/>
      <c r="E247" s="69"/>
      <c r="F247" s="69"/>
      <c r="G247" s="69"/>
      <c r="H247" s="69"/>
      <c r="I247" s="69"/>
      <c r="J247" s="69"/>
      <c r="K247" s="69"/>
      <c r="L247" s="69"/>
      <c r="M247" s="68"/>
    </row>
    <row r="248" spans="1:51" ht="20.100000000000001" customHeight="1" x14ac:dyDescent="0.3">
      <c r="A248" s="25" t="s">
        <v>146</v>
      </c>
      <c r="B248" s="25" t="s">
        <v>146</v>
      </c>
      <c r="C248" s="24" t="s">
        <v>145</v>
      </c>
      <c r="D248" s="18">
        <v>1</v>
      </c>
      <c r="E248" s="18"/>
      <c r="F248" s="18"/>
      <c r="G248" s="18"/>
      <c r="H248" s="18"/>
      <c r="I248" s="18"/>
      <c r="J248" s="18"/>
      <c r="K248" s="18"/>
      <c r="L248" s="18"/>
      <c r="M248" s="21"/>
      <c r="O248" t="str">
        <f>"01"</f>
        <v>01</v>
      </c>
      <c r="P248" s="5" t="s">
        <v>117</v>
      </c>
      <c r="Q248">
        <v>1</v>
      </c>
      <c r="R248">
        <f>IF(P248="기계경비", J248, 0)</f>
        <v>0</v>
      </c>
      <c r="S248">
        <f>IF(P248="운반비", L248, 0)</f>
        <v>0</v>
      </c>
      <c r="T248">
        <f>IF(P248="작업부산물", F248, 0)</f>
        <v>0</v>
      </c>
      <c r="U248">
        <f>IF(P248="관급", F248, 0)</f>
        <v>0</v>
      </c>
      <c r="V248">
        <f>IF(P248="외주비", J248, 0)</f>
        <v>0</v>
      </c>
      <c r="W248">
        <f>IF(P248="장비비", J248, 0)</f>
        <v>0</v>
      </c>
      <c r="X248">
        <f>IF(P248="폐기물처리비", L248, 0)</f>
        <v>0</v>
      </c>
      <c r="Y248">
        <f>IF(P248="가설비", J248, 0)</f>
        <v>0</v>
      </c>
      <c r="Z248">
        <f>IF(P248="잡비제외분", F248, 0)</f>
        <v>0</v>
      </c>
      <c r="AA248">
        <f>IF(P248="사급자재대", L248, 0)</f>
        <v>0</v>
      </c>
      <c r="AB248">
        <f>IF(P248="관급자재대", L248, 0)</f>
        <v>0</v>
      </c>
      <c r="AC248">
        <f>IF(P248="관급자관급", L248, 0)</f>
        <v>0</v>
      </c>
      <c r="AD248">
        <f>IF(P248="품질시험비", L248, 0)</f>
        <v>0</v>
      </c>
      <c r="AE248">
        <f>IF(P248="수도광열비", L248, 0)</f>
        <v>0</v>
      </c>
      <c r="AF248">
        <f>IF(P248="공기중석면농도측정비", L248, 0)</f>
        <v>0</v>
      </c>
      <c r="AG248">
        <f>IF(P248="사용자항목5", L248, 0)</f>
        <v>0</v>
      </c>
      <c r="AH248">
        <f>IF(P248="사용자항목6", L248, 0)</f>
        <v>0</v>
      </c>
      <c r="AI248">
        <f>IF(P248="사용자항목7", L248, 0)</f>
        <v>0</v>
      </c>
      <c r="AJ248">
        <f>IF(P248="관급자재대2", L248, 0)</f>
        <v>0</v>
      </c>
      <c r="AK248">
        <f>IF(P248="작업부산물", L248, 0)</f>
        <v>0</v>
      </c>
      <c r="AL248">
        <f>IF(P248="해체계획비및검토비", L248, 0)</f>
        <v>0</v>
      </c>
      <c r="AM248">
        <f>IF(P248="사용자항목11", L248, 0)</f>
        <v>0</v>
      </c>
      <c r="AN248">
        <f>IF(P248="사용자항목12", L248, 0)</f>
        <v>0</v>
      </c>
      <c r="AO248">
        <f>IF(P248="사용자항목13", L248, 0)</f>
        <v>0</v>
      </c>
      <c r="AP248">
        <f>IF(P248="사용자항목14", L248, 0)</f>
        <v>0</v>
      </c>
      <c r="AQ248">
        <f>IF(P248="사용자항목15", L248, 0)</f>
        <v>0</v>
      </c>
      <c r="AR248">
        <f>IF(P248="사용자항목16", L248, 0)</f>
        <v>0</v>
      </c>
      <c r="AS248">
        <f>IF(P248="사용자항목17", L248, 0)</f>
        <v>0</v>
      </c>
      <c r="AT248">
        <f>IF(P248="사용자항목18", L248, 0)</f>
        <v>0</v>
      </c>
      <c r="AU248">
        <f>IF(P248="사용자항목19", L248, 0)</f>
        <v>0</v>
      </c>
    </row>
    <row r="249" spans="1:51" ht="20.100000000000001" customHeight="1" x14ac:dyDescent="0.3">
      <c r="A249" s="25" t="s">
        <v>144</v>
      </c>
      <c r="B249" s="25" t="s">
        <v>144</v>
      </c>
      <c r="C249" s="24" t="s">
        <v>143</v>
      </c>
      <c r="D249" s="18">
        <v>3</v>
      </c>
      <c r="E249" s="18"/>
      <c r="F249" s="18"/>
      <c r="G249" s="18"/>
      <c r="H249" s="18"/>
      <c r="I249" s="18"/>
      <c r="J249" s="18"/>
      <c r="K249" s="18"/>
      <c r="L249" s="18"/>
      <c r="M249" s="21"/>
      <c r="O249" t="str">
        <f>"01"</f>
        <v>01</v>
      </c>
      <c r="P249" s="5" t="s">
        <v>117</v>
      </c>
      <c r="Q249">
        <v>1</v>
      </c>
      <c r="R249">
        <f>IF(P249="기계경비", J249, 0)</f>
        <v>0</v>
      </c>
      <c r="S249">
        <f>IF(P249="운반비", L249, 0)</f>
        <v>0</v>
      </c>
      <c r="T249">
        <f>IF(P249="작업부산물", F249, 0)</f>
        <v>0</v>
      </c>
      <c r="U249">
        <f>IF(P249="관급", F249, 0)</f>
        <v>0</v>
      </c>
      <c r="V249">
        <f>IF(P249="외주비", J249, 0)</f>
        <v>0</v>
      </c>
      <c r="W249">
        <f>IF(P249="장비비", J249, 0)</f>
        <v>0</v>
      </c>
      <c r="X249">
        <f>IF(P249="폐기물처리비", L249, 0)</f>
        <v>0</v>
      </c>
      <c r="Y249">
        <f>IF(P249="가설비", J249, 0)</f>
        <v>0</v>
      </c>
      <c r="Z249">
        <f>IF(P249="잡비제외분", F249, 0)</f>
        <v>0</v>
      </c>
      <c r="AA249">
        <f>IF(P249="사급자재대", L249, 0)</f>
        <v>0</v>
      </c>
      <c r="AB249">
        <f>IF(P249="관급자재대", L249, 0)</f>
        <v>0</v>
      </c>
      <c r="AC249">
        <f>IF(P249="관급자관급", L249, 0)</f>
        <v>0</v>
      </c>
      <c r="AD249">
        <f>IF(P249="품질시험비", L249, 0)</f>
        <v>0</v>
      </c>
      <c r="AE249">
        <f>IF(P249="수도광열비", L249, 0)</f>
        <v>0</v>
      </c>
      <c r="AF249">
        <f>IF(P249="공기중석면농도측정비", L249, 0)</f>
        <v>0</v>
      </c>
      <c r="AG249">
        <f>IF(P249="사용자항목5", L249, 0)</f>
        <v>0</v>
      </c>
      <c r="AH249">
        <f>IF(P249="사용자항목6", L249, 0)</f>
        <v>0</v>
      </c>
      <c r="AI249">
        <f>IF(P249="사용자항목7", L249, 0)</f>
        <v>0</v>
      </c>
      <c r="AJ249">
        <f>IF(P249="관급자재대2", L249, 0)</f>
        <v>0</v>
      </c>
      <c r="AK249">
        <f>IF(P249="작업부산물", L249, 0)</f>
        <v>0</v>
      </c>
      <c r="AL249">
        <f>IF(P249="해체계획비및검토비", L249, 0)</f>
        <v>0</v>
      </c>
      <c r="AM249">
        <f>IF(P249="사용자항목11", L249, 0)</f>
        <v>0</v>
      </c>
      <c r="AN249">
        <f>IF(P249="사용자항목12", L249, 0)</f>
        <v>0</v>
      </c>
      <c r="AO249">
        <f>IF(P249="사용자항목13", L249, 0)</f>
        <v>0</v>
      </c>
      <c r="AP249">
        <f>IF(P249="사용자항목14", L249, 0)</f>
        <v>0</v>
      </c>
      <c r="AQ249">
        <f>IF(P249="사용자항목15", L249, 0)</f>
        <v>0</v>
      </c>
      <c r="AR249">
        <f>IF(P249="사용자항목16", L249, 0)</f>
        <v>0</v>
      </c>
      <c r="AS249">
        <f>IF(P249="사용자항목17", L249, 0)</f>
        <v>0</v>
      </c>
      <c r="AT249">
        <f>IF(P249="사용자항목18", L249, 0)</f>
        <v>0</v>
      </c>
      <c r="AU249">
        <f>IF(P249="사용자항목19", L249, 0)</f>
        <v>0</v>
      </c>
    </row>
    <row r="250" spans="1:51" ht="20.100000000000001" customHeight="1" x14ac:dyDescent="0.3">
      <c r="A250" s="23"/>
      <c r="B250" s="23"/>
      <c r="C250" s="21"/>
      <c r="D250" s="18"/>
      <c r="E250" s="18"/>
      <c r="F250" s="18"/>
      <c r="G250" s="18"/>
      <c r="H250" s="18"/>
      <c r="I250" s="18"/>
      <c r="J250" s="18"/>
      <c r="K250" s="18"/>
      <c r="L250" s="18"/>
      <c r="M250" s="21"/>
    </row>
    <row r="251" spans="1:51" ht="20.100000000000001" customHeight="1" x14ac:dyDescent="0.3">
      <c r="A251" s="23"/>
      <c r="B251" s="23"/>
      <c r="C251" s="21"/>
      <c r="D251" s="18"/>
      <c r="E251" s="18"/>
      <c r="F251" s="18"/>
      <c r="G251" s="18"/>
      <c r="H251" s="18"/>
      <c r="I251" s="18"/>
      <c r="J251" s="18"/>
      <c r="K251" s="18"/>
      <c r="L251" s="18"/>
      <c r="M251" s="21"/>
    </row>
    <row r="252" spans="1:51" ht="20.100000000000001" customHeight="1" x14ac:dyDescent="0.3">
      <c r="A252" s="23"/>
      <c r="B252" s="23"/>
      <c r="C252" s="21"/>
      <c r="D252" s="18"/>
      <c r="E252" s="18"/>
      <c r="F252" s="18"/>
      <c r="G252" s="18"/>
      <c r="H252" s="18"/>
      <c r="I252" s="18"/>
      <c r="J252" s="18"/>
      <c r="K252" s="18"/>
      <c r="L252" s="18"/>
      <c r="M252" s="21"/>
    </row>
    <row r="253" spans="1:51" ht="20.100000000000001" customHeight="1" x14ac:dyDescent="0.3">
      <c r="A253" s="23"/>
      <c r="B253" s="23"/>
      <c r="C253" s="21"/>
      <c r="D253" s="18"/>
      <c r="E253" s="18"/>
      <c r="F253" s="18"/>
      <c r="G253" s="18"/>
      <c r="H253" s="18"/>
      <c r="I253" s="18"/>
      <c r="J253" s="18"/>
      <c r="K253" s="18"/>
      <c r="L253" s="18"/>
      <c r="M253" s="21"/>
    </row>
    <row r="254" spans="1:51" ht="20.100000000000001" customHeight="1" x14ac:dyDescent="0.3">
      <c r="A254" s="23"/>
      <c r="B254" s="23"/>
      <c r="C254" s="21"/>
      <c r="D254" s="18"/>
      <c r="E254" s="18"/>
      <c r="F254" s="18"/>
      <c r="G254" s="18"/>
      <c r="H254" s="18"/>
      <c r="I254" s="18"/>
      <c r="J254" s="18"/>
      <c r="K254" s="18"/>
      <c r="L254" s="18"/>
      <c r="M254" s="21"/>
    </row>
    <row r="255" spans="1:51" ht="20.100000000000001" customHeight="1" x14ac:dyDescent="0.3">
      <c r="A255" s="23"/>
      <c r="B255" s="23"/>
      <c r="C255" s="21"/>
      <c r="D255" s="18"/>
      <c r="E255" s="18"/>
      <c r="F255" s="18"/>
      <c r="G255" s="18"/>
      <c r="H255" s="18"/>
      <c r="I255" s="18"/>
      <c r="J255" s="18"/>
      <c r="K255" s="18"/>
      <c r="L255" s="18"/>
      <c r="M255" s="21"/>
    </row>
    <row r="256" spans="1:51" ht="20.100000000000001" customHeight="1" x14ac:dyDescent="0.3">
      <c r="A256" s="23"/>
      <c r="B256" s="23"/>
      <c r="C256" s="21"/>
      <c r="D256" s="18"/>
      <c r="E256" s="18"/>
      <c r="F256" s="18"/>
      <c r="G256" s="18"/>
      <c r="H256" s="18"/>
      <c r="I256" s="18"/>
      <c r="J256" s="18"/>
      <c r="K256" s="18"/>
      <c r="L256" s="18"/>
      <c r="M256" s="21"/>
    </row>
    <row r="257" spans="1:51" ht="20.100000000000001" customHeight="1" x14ac:dyDescent="0.3">
      <c r="A257" s="23"/>
      <c r="B257" s="23"/>
      <c r="C257" s="21"/>
      <c r="D257" s="18"/>
      <c r="E257" s="18"/>
      <c r="F257" s="18"/>
      <c r="G257" s="18"/>
      <c r="H257" s="18"/>
      <c r="I257" s="18"/>
      <c r="J257" s="18"/>
      <c r="K257" s="18"/>
      <c r="L257" s="18"/>
      <c r="M257" s="21"/>
    </row>
    <row r="258" spans="1:51" ht="20.100000000000001" customHeight="1" x14ac:dyDescent="0.3">
      <c r="A258" s="23"/>
      <c r="B258" s="23"/>
      <c r="C258" s="21"/>
      <c r="D258" s="18"/>
      <c r="E258" s="18"/>
      <c r="F258" s="18"/>
      <c r="G258" s="18"/>
      <c r="H258" s="18"/>
      <c r="I258" s="18"/>
      <c r="J258" s="18"/>
      <c r="K258" s="18"/>
      <c r="L258" s="18"/>
      <c r="M258" s="21"/>
    </row>
    <row r="259" spans="1:51" ht="20.100000000000001" customHeight="1" x14ac:dyDescent="0.3">
      <c r="A259" s="23"/>
      <c r="B259" s="23"/>
      <c r="C259" s="21"/>
      <c r="D259" s="18"/>
      <c r="E259" s="18"/>
      <c r="F259" s="18"/>
      <c r="G259" s="18"/>
      <c r="H259" s="18"/>
      <c r="I259" s="18"/>
      <c r="J259" s="18"/>
      <c r="K259" s="18"/>
      <c r="L259" s="18"/>
      <c r="M259" s="21"/>
    </row>
    <row r="260" spans="1:51" ht="20.100000000000001" customHeight="1" x14ac:dyDescent="0.3">
      <c r="A260" s="23"/>
      <c r="B260" s="23"/>
      <c r="C260" s="21"/>
      <c r="D260" s="18"/>
      <c r="E260" s="18"/>
      <c r="F260" s="18"/>
      <c r="G260" s="18"/>
      <c r="H260" s="18"/>
      <c r="I260" s="18"/>
      <c r="J260" s="18"/>
      <c r="K260" s="18"/>
      <c r="L260" s="18"/>
      <c r="M260" s="21"/>
    </row>
    <row r="261" spans="1:51" ht="20.100000000000001" customHeight="1" x14ac:dyDescent="0.3">
      <c r="A261" s="23"/>
      <c r="B261" s="23"/>
      <c r="C261" s="21"/>
      <c r="D261" s="18"/>
      <c r="E261" s="18"/>
      <c r="F261" s="18"/>
      <c r="G261" s="18"/>
      <c r="H261" s="18"/>
      <c r="I261" s="18"/>
      <c r="J261" s="18"/>
      <c r="K261" s="18"/>
      <c r="L261" s="18"/>
      <c r="M261" s="21"/>
    </row>
    <row r="262" spans="1:51" ht="20.100000000000001" customHeight="1" x14ac:dyDescent="0.3">
      <c r="A262" s="23"/>
      <c r="B262" s="23"/>
      <c r="C262" s="21"/>
      <c r="D262" s="18"/>
      <c r="E262" s="18"/>
      <c r="F262" s="18"/>
      <c r="G262" s="18"/>
      <c r="H262" s="18"/>
      <c r="I262" s="18"/>
      <c r="J262" s="18"/>
      <c r="K262" s="18"/>
      <c r="L262" s="18"/>
      <c r="M262" s="21"/>
    </row>
    <row r="263" spans="1:51" ht="20.100000000000001" customHeight="1" x14ac:dyDescent="0.3">
      <c r="A263" s="23"/>
      <c r="B263" s="23"/>
      <c r="C263" s="21"/>
      <c r="D263" s="18"/>
      <c r="E263" s="18"/>
      <c r="F263" s="18"/>
      <c r="G263" s="18"/>
      <c r="H263" s="18"/>
      <c r="I263" s="18"/>
      <c r="J263" s="18"/>
      <c r="K263" s="18"/>
      <c r="L263" s="18"/>
      <c r="M263" s="21"/>
    </row>
    <row r="264" spans="1:51" ht="20.100000000000001" customHeight="1" x14ac:dyDescent="0.3">
      <c r="A264" s="23"/>
      <c r="B264" s="23"/>
      <c r="C264" s="21"/>
      <c r="D264" s="18"/>
      <c r="E264" s="18"/>
      <c r="F264" s="18"/>
      <c r="G264" s="18"/>
      <c r="H264" s="18"/>
      <c r="I264" s="18"/>
      <c r="J264" s="18"/>
      <c r="K264" s="18"/>
      <c r="L264" s="18"/>
      <c r="M264" s="21"/>
    </row>
    <row r="265" spans="1:51" ht="20.100000000000001" customHeight="1" x14ac:dyDescent="0.3">
      <c r="A265" s="23"/>
      <c r="B265" s="23"/>
      <c r="C265" s="21"/>
      <c r="D265" s="18"/>
      <c r="E265" s="18"/>
      <c r="F265" s="18"/>
      <c r="G265" s="18"/>
      <c r="H265" s="18"/>
      <c r="I265" s="18"/>
      <c r="J265" s="18"/>
      <c r="K265" s="18"/>
      <c r="L265" s="18"/>
      <c r="M265" s="21"/>
    </row>
    <row r="266" spans="1:51" ht="20.100000000000001" customHeight="1" x14ac:dyDescent="0.3">
      <c r="A266" s="23"/>
      <c r="B266" s="23"/>
      <c r="C266" s="21"/>
      <c r="D266" s="18"/>
      <c r="E266" s="18"/>
      <c r="F266" s="18"/>
      <c r="G266" s="18"/>
      <c r="H266" s="18"/>
      <c r="I266" s="18"/>
      <c r="J266" s="18"/>
      <c r="K266" s="18"/>
      <c r="L266" s="18"/>
      <c r="M266" s="21"/>
    </row>
    <row r="267" spans="1:51" ht="20.100000000000001" customHeight="1" x14ac:dyDescent="0.3">
      <c r="A267" s="23"/>
      <c r="B267" s="23"/>
      <c r="C267" s="21"/>
      <c r="D267" s="18"/>
      <c r="E267" s="18"/>
      <c r="F267" s="18"/>
      <c r="G267" s="18"/>
      <c r="H267" s="18"/>
      <c r="I267" s="18"/>
      <c r="J267" s="18"/>
      <c r="K267" s="18"/>
      <c r="L267" s="18"/>
      <c r="M267" s="21"/>
    </row>
    <row r="268" spans="1:51" ht="20.100000000000001" customHeight="1" x14ac:dyDescent="0.3">
      <c r="A268" s="20" t="s">
        <v>68</v>
      </c>
      <c r="B268" s="6"/>
      <c r="C268" s="17"/>
      <c r="D268" s="4"/>
      <c r="E268" s="18"/>
      <c r="F268" s="4">
        <f>ROUNDDOWN(SUMIF(Q248:Q267, "1", F248:F267), 0)</f>
        <v>0</v>
      </c>
      <c r="G268" s="18"/>
      <c r="H268" s="4">
        <f>ROUNDDOWN(SUMIF(Q248:Q267, "1", H248:H267), 0)</f>
        <v>0</v>
      </c>
      <c r="I268" s="18"/>
      <c r="J268" s="4">
        <f>ROUNDDOWN(SUMIF(Q248:Q267, "1", J248:J267), 0)</f>
        <v>0</v>
      </c>
      <c r="K268" s="18"/>
      <c r="L268" s="4">
        <f>F268+H268+J268</f>
        <v>0</v>
      </c>
      <c r="M268" s="17"/>
      <c r="R268">
        <f t="shared" ref="R268:AY268" si="190">ROUNDDOWN(SUM(R248:R249), 0)</f>
        <v>0</v>
      </c>
      <c r="S268">
        <f t="shared" si="190"/>
        <v>0</v>
      </c>
      <c r="T268">
        <f t="shared" si="190"/>
        <v>0</v>
      </c>
      <c r="U268">
        <f t="shared" si="190"/>
        <v>0</v>
      </c>
      <c r="V268">
        <f t="shared" si="190"/>
        <v>0</v>
      </c>
      <c r="W268">
        <f t="shared" si="190"/>
        <v>0</v>
      </c>
      <c r="X268">
        <f t="shared" si="190"/>
        <v>0</v>
      </c>
      <c r="Y268">
        <f t="shared" si="190"/>
        <v>0</v>
      </c>
      <c r="Z268">
        <f t="shared" si="190"/>
        <v>0</v>
      </c>
      <c r="AA268">
        <f t="shared" si="190"/>
        <v>0</v>
      </c>
      <c r="AB268">
        <f t="shared" si="190"/>
        <v>0</v>
      </c>
      <c r="AC268">
        <f t="shared" si="190"/>
        <v>0</v>
      </c>
      <c r="AD268">
        <f t="shared" si="190"/>
        <v>0</v>
      </c>
      <c r="AE268">
        <f t="shared" si="190"/>
        <v>0</v>
      </c>
      <c r="AF268">
        <f t="shared" si="190"/>
        <v>0</v>
      </c>
      <c r="AG268">
        <f t="shared" si="190"/>
        <v>0</v>
      </c>
      <c r="AH268">
        <f t="shared" si="190"/>
        <v>0</v>
      </c>
      <c r="AI268">
        <f t="shared" si="190"/>
        <v>0</v>
      </c>
      <c r="AJ268">
        <f t="shared" si="190"/>
        <v>0</v>
      </c>
      <c r="AK268">
        <f t="shared" si="190"/>
        <v>0</v>
      </c>
      <c r="AL268">
        <f t="shared" si="190"/>
        <v>0</v>
      </c>
      <c r="AM268">
        <f t="shared" si="190"/>
        <v>0</v>
      </c>
      <c r="AN268">
        <f t="shared" si="190"/>
        <v>0</v>
      </c>
      <c r="AO268">
        <f t="shared" si="190"/>
        <v>0</v>
      </c>
      <c r="AP268">
        <f t="shared" si="190"/>
        <v>0</v>
      </c>
      <c r="AQ268">
        <f t="shared" si="190"/>
        <v>0</v>
      </c>
      <c r="AR268">
        <f t="shared" si="190"/>
        <v>0</v>
      </c>
      <c r="AS268">
        <f t="shared" si="190"/>
        <v>0</v>
      </c>
      <c r="AT268">
        <f t="shared" si="190"/>
        <v>0</v>
      </c>
      <c r="AU268">
        <f t="shared" si="190"/>
        <v>0</v>
      </c>
      <c r="AV268">
        <f t="shared" si="190"/>
        <v>0</v>
      </c>
      <c r="AW268">
        <f t="shared" si="190"/>
        <v>0</v>
      </c>
      <c r="AX268">
        <f t="shared" si="190"/>
        <v>0</v>
      </c>
      <c r="AY268">
        <f t="shared" si="190"/>
        <v>0</v>
      </c>
    </row>
    <row r="269" spans="1:51" ht="20.100000000000001" customHeight="1" x14ac:dyDescent="0.3">
      <c r="A269" s="67" t="s">
        <v>84</v>
      </c>
      <c r="B269" s="68"/>
      <c r="C269" s="68"/>
      <c r="D269" s="69"/>
      <c r="E269" s="69"/>
      <c r="F269" s="69"/>
      <c r="G269" s="69"/>
      <c r="H269" s="69"/>
      <c r="I269" s="69"/>
      <c r="J269" s="69"/>
      <c r="K269" s="69"/>
      <c r="L269" s="69"/>
      <c r="M269" s="68"/>
    </row>
    <row r="270" spans="1:51" ht="20.100000000000001" customHeight="1" x14ac:dyDescent="0.3">
      <c r="A270" s="25" t="s">
        <v>142</v>
      </c>
      <c r="B270" s="23"/>
      <c r="C270" s="24" t="s">
        <v>69</v>
      </c>
      <c r="D270" s="18">
        <v>1</v>
      </c>
      <c r="E270" s="18"/>
      <c r="F270" s="18"/>
      <c r="G270" s="18"/>
      <c r="H270" s="18"/>
      <c r="I270" s="18"/>
      <c r="J270" s="18"/>
      <c r="K270" s="18"/>
      <c r="L270" s="18"/>
      <c r="M270" s="21"/>
      <c r="O270" t="str">
        <f>""</f>
        <v/>
      </c>
      <c r="P270" s="5" t="s">
        <v>117</v>
      </c>
      <c r="Q270">
        <v>1</v>
      </c>
      <c r="R270">
        <f>IF(P270="기계경비", J270, 0)</f>
        <v>0</v>
      </c>
      <c r="S270">
        <f>IF(P270="운반비", L270, 0)</f>
        <v>0</v>
      </c>
      <c r="T270">
        <f>IF(P270="작업부산물", F270, 0)</f>
        <v>0</v>
      </c>
      <c r="U270">
        <f>IF(P270="관급", F270, 0)</f>
        <v>0</v>
      </c>
      <c r="V270">
        <f>IF(P270="외주비", J270, 0)</f>
        <v>0</v>
      </c>
      <c r="W270">
        <f>IF(P270="장비비", J270, 0)</f>
        <v>0</v>
      </c>
      <c r="X270">
        <f>IF(P270="폐기물처리비", L270, 0)</f>
        <v>0</v>
      </c>
      <c r="Y270">
        <f>IF(P270="가설비", J270, 0)</f>
        <v>0</v>
      </c>
      <c r="Z270">
        <f>IF(P270="잡비제외분", F270, 0)</f>
        <v>0</v>
      </c>
      <c r="AA270">
        <f>IF(P270="사급자재대", L270, 0)</f>
        <v>0</v>
      </c>
      <c r="AB270">
        <f>IF(P270="관급자재대", L270, 0)</f>
        <v>0</v>
      </c>
      <c r="AC270">
        <f>IF(P270="관급자관급", L270, 0)</f>
        <v>0</v>
      </c>
      <c r="AD270">
        <f>IF(P270="품질시험비", L270, 0)</f>
        <v>0</v>
      </c>
      <c r="AE270">
        <f>IF(P270="수도광열비", L270, 0)</f>
        <v>0</v>
      </c>
      <c r="AF270">
        <f>IF(P270="공기중석면농도측정비", L270, 0)</f>
        <v>0</v>
      </c>
      <c r="AG270">
        <f>IF(P270="사용자항목5", L270, 0)</f>
        <v>0</v>
      </c>
      <c r="AH270">
        <f>IF(P270="사용자항목6", L270, 0)</f>
        <v>0</v>
      </c>
      <c r="AI270">
        <f>IF(P270="사용자항목7", L270, 0)</f>
        <v>0</v>
      </c>
      <c r="AJ270">
        <f>IF(P270="관급자재대2", L270, 0)</f>
        <v>0</v>
      </c>
      <c r="AK270">
        <f>IF(P270="작업부산물", L270, 0)</f>
        <v>0</v>
      </c>
      <c r="AL270">
        <f>IF(P270="해체계획비및검토비", L270, 0)</f>
        <v>0</v>
      </c>
      <c r="AM270">
        <f>IF(P270="사용자항목11", L270, 0)</f>
        <v>0</v>
      </c>
      <c r="AN270">
        <f>IF(P270="사용자항목12", L270, 0)</f>
        <v>0</v>
      </c>
      <c r="AO270">
        <f>IF(P270="사용자항목13", L270, 0)</f>
        <v>0</v>
      </c>
      <c r="AP270">
        <f>IF(P270="사용자항목14", L270, 0)</f>
        <v>0</v>
      </c>
      <c r="AQ270">
        <f>IF(P270="사용자항목15", L270, 0)</f>
        <v>0</v>
      </c>
      <c r="AR270">
        <f>IF(P270="사용자항목16", L270, 0)</f>
        <v>0</v>
      </c>
      <c r="AS270">
        <f>IF(P270="사용자항목17", L270, 0)</f>
        <v>0</v>
      </c>
      <c r="AT270">
        <f>IF(P270="사용자항목18", L270, 0)</f>
        <v>0</v>
      </c>
      <c r="AU270">
        <f>IF(P270="사용자항목19", L270, 0)</f>
        <v>0</v>
      </c>
    </row>
    <row r="271" spans="1:51" ht="20.100000000000001" customHeight="1" x14ac:dyDescent="0.3">
      <c r="A271" s="23"/>
      <c r="B271" s="23"/>
      <c r="C271" s="21"/>
      <c r="D271" s="18"/>
      <c r="E271" s="18"/>
      <c r="F271" s="18"/>
      <c r="G271" s="18"/>
      <c r="H271" s="18"/>
      <c r="I271" s="18"/>
      <c r="J271" s="18"/>
      <c r="K271" s="18"/>
      <c r="L271" s="18"/>
      <c r="M271" s="21"/>
    </row>
    <row r="272" spans="1:51" ht="20.100000000000001" customHeight="1" x14ac:dyDescent="0.3">
      <c r="A272" s="23"/>
      <c r="B272" s="23"/>
      <c r="C272" s="21"/>
      <c r="D272" s="18"/>
      <c r="E272" s="18"/>
      <c r="F272" s="18"/>
      <c r="G272" s="18"/>
      <c r="H272" s="18"/>
      <c r="I272" s="18"/>
      <c r="J272" s="18"/>
      <c r="K272" s="18"/>
      <c r="L272" s="18"/>
      <c r="M272" s="21"/>
    </row>
    <row r="273" spans="1:13" ht="20.100000000000001" customHeight="1" x14ac:dyDescent="0.3">
      <c r="A273" s="23"/>
      <c r="B273" s="23"/>
      <c r="C273" s="21"/>
      <c r="D273" s="18"/>
      <c r="E273" s="18"/>
      <c r="F273" s="18"/>
      <c r="G273" s="18"/>
      <c r="H273" s="18"/>
      <c r="I273" s="18"/>
      <c r="J273" s="18"/>
      <c r="K273" s="18"/>
      <c r="L273" s="18"/>
      <c r="M273" s="21"/>
    </row>
    <row r="274" spans="1:13" ht="20.100000000000001" customHeight="1" x14ac:dyDescent="0.3">
      <c r="A274" s="23"/>
      <c r="B274" s="23"/>
      <c r="C274" s="21"/>
      <c r="D274" s="18"/>
      <c r="E274" s="18"/>
      <c r="F274" s="18"/>
      <c r="G274" s="18"/>
      <c r="H274" s="18"/>
      <c r="I274" s="18"/>
      <c r="J274" s="18"/>
      <c r="K274" s="18"/>
      <c r="L274" s="18"/>
      <c r="M274" s="21"/>
    </row>
    <row r="275" spans="1:13" ht="20.100000000000001" customHeight="1" x14ac:dyDescent="0.3">
      <c r="A275" s="23"/>
      <c r="B275" s="23"/>
      <c r="C275" s="21"/>
      <c r="D275" s="18"/>
      <c r="E275" s="18"/>
      <c r="F275" s="18"/>
      <c r="G275" s="18"/>
      <c r="H275" s="18"/>
      <c r="I275" s="18"/>
      <c r="J275" s="18"/>
      <c r="K275" s="18"/>
      <c r="L275" s="18"/>
      <c r="M275" s="21"/>
    </row>
    <row r="276" spans="1:13" ht="20.100000000000001" customHeight="1" x14ac:dyDescent="0.3">
      <c r="A276" s="23"/>
      <c r="B276" s="23"/>
      <c r="C276" s="21"/>
      <c r="D276" s="18"/>
      <c r="E276" s="18"/>
      <c r="F276" s="18"/>
      <c r="G276" s="18"/>
      <c r="H276" s="18"/>
      <c r="I276" s="18"/>
      <c r="J276" s="18"/>
      <c r="K276" s="18"/>
      <c r="L276" s="18"/>
      <c r="M276" s="21"/>
    </row>
    <row r="277" spans="1:13" ht="20.100000000000001" customHeight="1" x14ac:dyDescent="0.3">
      <c r="A277" s="23"/>
      <c r="B277" s="23"/>
      <c r="C277" s="21"/>
      <c r="D277" s="18"/>
      <c r="E277" s="18"/>
      <c r="F277" s="18"/>
      <c r="G277" s="18"/>
      <c r="H277" s="18"/>
      <c r="I277" s="18"/>
      <c r="J277" s="18"/>
      <c r="K277" s="18"/>
      <c r="L277" s="18"/>
      <c r="M277" s="21"/>
    </row>
    <row r="278" spans="1:13" ht="20.100000000000001" customHeight="1" x14ac:dyDescent="0.3">
      <c r="A278" s="23"/>
      <c r="B278" s="23"/>
      <c r="C278" s="21"/>
      <c r="D278" s="18"/>
      <c r="E278" s="18"/>
      <c r="F278" s="18"/>
      <c r="G278" s="18"/>
      <c r="H278" s="18"/>
      <c r="I278" s="18"/>
      <c r="J278" s="18"/>
      <c r="K278" s="18"/>
      <c r="L278" s="18"/>
      <c r="M278" s="21"/>
    </row>
    <row r="279" spans="1:13" ht="20.100000000000001" customHeight="1" x14ac:dyDescent="0.3">
      <c r="A279" s="23"/>
      <c r="B279" s="23"/>
      <c r="C279" s="21"/>
      <c r="D279" s="18"/>
      <c r="E279" s="18"/>
      <c r="F279" s="18"/>
      <c r="G279" s="18"/>
      <c r="H279" s="18"/>
      <c r="I279" s="18"/>
      <c r="J279" s="18"/>
      <c r="K279" s="18"/>
      <c r="L279" s="18"/>
      <c r="M279" s="21"/>
    </row>
    <row r="280" spans="1:13" ht="20.100000000000001" customHeight="1" x14ac:dyDescent="0.3">
      <c r="A280" s="23"/>
      <c r="B280" s="23"/>
      <c r="C280" s="21"/>
      <c r="D280" s="18"/>
      <c r="E280" s="18"/>
      <c r="F280" s="18"/>
      <c r="G280" s="18"/>
      <c r="H280" s="18"/>
      <c r="I280" s="18"/>
      <c r="J280" s="18"/>
      <c r="K280" s="18"/>
      <c r="L280" s="18"/>
      <c r="M280" s="21"/>
    </row>
    <row r="281" spans="1:13" ht="20.100000000000001" customHeight="1" x14ac:dyDescent="0.3">
      <c r="A281" s="23"/>
      <c r="B281" s="23"/>
      <c r="C281" s="21"/>
      <c r="D281" s="18"/>
      <c r="E281" s="18"/>
      <c r="F281" s="18"/>
      <c r="G281" s="18"/>
      <c r="H281" s="18"/>
      <c r="I281" s="18"/>
      <c r="J281" s="18"/>
      <c r="K281" s="18"/>
      <c r="L281" s="18"/>
      <c r="M281" s="21"/>
    </row>
    <row r="282" spans="1:13" ht="20.100000000000001" customHeight="1" x14ac:dyDescent="0.3">
      <c r="A282" s="23"/>
      <c r="B282" s="23"/>
      <c r="C282" s="21"/>
      <c r="D282" s="18"/>
      <c r="E282" s="18"/>
      <c r="F282" s="18"/>
      <c r="G282" s="18"/>
      <c r="H282" s="18"/>
      <c r="I282" s="18"/>
      <c r="J282" s="18"/>
      <c r="K282" s="18"/>
      <c r="L282" s="18"/>
      <c r="M282" s="21"/>
    </row>
    <row r="283" spans="1:13" ht="20.100000000000001" customHeight="1" x14ac:dyDescent="0.3">
      <c r="A283" s="23"/>
      <c r="B283" s="23"/>
      <c r="C283" s="21"/>
      <c r="D283" s="18"/>
      <c r="E283" s="18"/>
      <c r="F283" s="18"/>
      <c r="G283" s="18"/>
      <c r="H283" s="18"/>
      <c r="I283" s="18"/>
      <c r="J283" s="18"/>
      <c r="K283" s="18"/>
      <c r="L283" s="18"/>
      <c r="M283" s="21"/>
    </row>
    <row r="284" spans="1:13" ht="20.100000000000001" customHeight="1" x14ac:dyDescent="0.3">
      <c r="A284" s="23"/>
      <c r="B284" s="23"/>
      <c r="C284" s="21"/>
      <c r="D284" s="18"/>
      <c r="E284" s="18"/>
      <c r="F284" s="18"/>
      <c r="G284" s="18"/>
      <c r="H284" s="18"/>
      <c r="I284" s="18"/>
      <c r="J284" s="18"/>
      <c r="K284" s="18"/>
      <c r="L284" s="18"/>
      <c r="M284" s="21"/>
    </row>
    <row r="285" spans="1:13" ht="20.100000000000001" customHeight="1" x14ac:dyDescent="0.3">
      <c r="A285" s="23"/>
      <c r="B285" s="23"/>
      <c r="C285" s="21"/>
      <c r="D285" s="18"/>
      <c r="E285" s="18"/>
      <c r="F285" s="18"/>
      <c r="G285" s="18"/>
      <c r="H285" s="18"/>
      <c r="I285" s="18"/>
      <c r="J285" s="18"/>
      <c r="K285" s="18"/>
      <c r="L285" s="18"/>
      <c r="M285" s="21"/>
    </row>
    <row r="286" spans="1:13" ht="20.100000000000001" customHeight="1" x14ac:dyDescent="0.3">
      <c r="A286" s="23"/>
      <c r="B286" s="23"/>
      <c r="C286" s="21"/>
      <c r="D286" s="18"/>
      <c r="E286" s="18"/>
      <c r="F286" s="18"/>
      <c r="G286" s="18"/>
      <c r="H286" s="18"/>
      <c r="I286" s="18"/>
      <c r="J286" s="18"/>
      <c r="K286" s="18"/>
      <c r="L286" s="18"/>
      <c r="M286" s="21"/>
    </row>
    <row r="287" spans="1:13" ht="20.100000000000001" customHeight="1" x14ac:dyDescent="0.3">
      <c r="A287" s="23"/>
      <c r="B287" s="23"/>
      <c r="C287" s="21"/>
      <c r="D287" s="18"/>
      <c r="E287" s="18"/>
      <c r="F287" s="18"/>
      <c r="G287" s="18"/>
      <c r="H287" s="18"/>
      <c r="I287" s="18"/>
      <c r="J287" s="18"/>
      <c r="K287" s="18"/>
      <c r="L287" s="18"/>
      <c r="M287" s="21"/>
    </row>
    <row r="288" spans="1:13" ht="20.100000000000001" customHeight="1" x14ac:dyDescent="0.3">
      <c r="A288" s="23"/>
      <c r="B288" s="23"/>
      <c r="C288" s="21"/>
      <c r="D288" s="18"/>
      <c r="E288" s="18"/>
      <c r="F288" s="18"/>
      <c r="G288" s="18"/>
      <c r="H288" s="18"/>
      <c r="I288" s="18"/>
      <c r="J288" s="18"/>
      <c r="K288" s="18"/>
      <c r="L288" s="18"/>
      <c r="M288" s="21"/>
    </row>
    <row r="289" spans="1:51" ht="20.100000000000001" customHeight="1" x14ac:dyDescent="0.3">
      <c r="A289" s="23"/>
      <c r="B289" s="23"/>
      <c r="C289" s="21"/>
      <c r="D289" s="18"/>
      <c r="E289" s="18"/>
      <c r="F289" s="18"/>
      <c r="G289" s="18"/>
      <c r="H289" s="18"/>
      <c r="I289" s="18"/>
      <c r="J289" s="18"/>
      <c r="K289" s="18"/>
      <c r="L289" s="18"/>
      <c r="M289" s="21"/>
    </row>
    <row r="290" spans="1:51" ht="20.100000000000001" customHeight="1" x14ac:dyDescent="0.3">
      <c r="A290" s="20" t="s">
        <v>68</v>
      </c>
      <c r="B290" s="6"/>
      <c r="C290" s="17"/>
      <c r="D290" s="4"/>
      <c r="E290" s="18"/>
      <c r="F290" s="4">
        <f>ROUNDDOWN(SUMIF(Q270:Q289, "1", F270:F289), 0)</f>
        <v>0</v>
      </c>
      <c r="G290" s="18"/>
      <c r="H290" s="4">
        <f>ROUNDDOWN(SUMIF(Q270:Q289, "1", H270:H289), 0)</f>
        <v>0</v>
      </c>
      <c r="I290" s="18"/>
      <c r="J290" s="4">
        <f>ROUNDDOWN(SUMIF(Q270:Q289, "1", J270:J289), 0)</f>
        <v>0</v>
      </c>
      <c r="K290" s="18"/>
      <c r="L290" s="4">
        <f>F290+H290+J290</f>
        <v>0</v>
      </c>
      <c r="M290" s="17"/>
      <c r="R290">
        <f t="shared" ref="R290:AY290" si="191">ROUNDDOWN(SUM(R270:R270), 0)</f>
        <v>0</v>
      </c>
      <c r="S290">
        <f t="shared" si="191"/>
        <v>0</v>
      </c>
      <c r="T290">
        <f t="shared" si="191"/>
        <v>0</v>
      </c>
      <c r="U290">
        <f t="shared" si="191"/>
        <v>0</v>
      </c>
      <c r="V290">
        <f t="shared" si="191"/>
        <v>0</v>
      </c>
      <c r="W290">
        <f t="shared" si="191"/>
        <v>0</v>
      </c>
      <c r="X290">
        <f t="shared" si="191"/>
        <v>0</v>
      </c>
      <c r="Y290">
        <f t="shared" si="191"/>
        <v>0</v>
      </c>
      <c r="Z290">
        <f t="shared" si="191"/>
        <v>0</v>
      </c>
      <c r="AA290">
        <f t="shared" si="191"/>
        <v>0</v>
      </c>
      <c r="AB290">
        <f t="shared" si="191"/>
        <v>0</v>
      </c>
      <c r="AC290">
        <f t="shared" si="191"/>
        <v>0</v>
      </c>
      <c r="AD290">
        <f t="shared" si="191"/>
        <v>0</v>
      </c>
      <c r="AE290">
        <f t="shared" si="191"/>
        <v>0</v>
      </c>
      <c r="AF290">
        <f t="shared" si="191"/>
        <v>0</v>
      </c>
      <c r="AG290">
        <f t="shared" si="191"/>
        <v>0</v>
      </c>
      <c r="AH290">
        <f t="shared" si="191"/>
        <v>0</v>
      </c>
      <c r="AI290">
        <f t="shared" si="191"/>
        <v>0</v>
      </c>
      <c r="AJ290">
        <f t="shared" si="191"/>
        <v>0</v>
      </c>
      <c r="AK290">
        <f t="shared" si="191"/>
        <v>0</v>
      </c>
      <c r="AL290">
        <f t="shared" si="191"/>
        <v>0</v>
      </c>
      <c r="AM290">
        <f t="shared" si="191"/>
        <v>0</v>
      </c>
      <c r="AN290">
        <f t="shared" si="191"/>
        <v>0</v>
      </c>
      <c r="AO290">
        <f t="shared" si="191"/>
        <v>0</v>
      </c>
      <c r="AP290">
        <f t="shared" si="191"/>
        <v>0</v>
      </c>
      <c r="AQ290">
        <f t="shared" si="191"/>
        <v>0</v>
      </c>
      <c r="AR290">
        <f t="shared" si="191"/>
        <v>0</v>
      </c>
      <c r="AS290">
        <f t="shared" si="191"/>
        <v>0</v>
      </c>
      <c r="AT290">
        <f t="shared" si="191"/>
        <v>0</v>
      </c>
      <c r="AU290">
        <f t="shared" si="191"/>
        <v>0</v>
      </c>
      <c r="AV290">
        <f t="shared" si="191"/>
        <v>0</v>
      </c>
      <c r="AW290">
        <f t="shared" si="191"/>
        <v>0</v>
      </c>
      <c r="AX290">
        <f t="shared" si="191"/>
        <v>0</v>
      </c>
      <c r="AY290">
        <f t="shared" si="191"/>
        <v>0</v>
      </c>
    </row>
    <row r="291" spans="1:51" ht="20.100000000000001" customHeight="1" x14ac:dyDescent="0.3">
      <c r="A291" s="67" t="s">
        <v>83</v>
      </c>
      <c r="B291" s="68"/>
      <c r="C291" s="68"/>
      <c r="D291" s="69"/>
      <c r="E291" s="69"/>
      <c r="F291" s="69"/>
      <c r="G291" s="69"/>
      <c r="H291" s="69"/>
      <c r="I291" s="69"/>
      <c r="J291" s="69"/>
      <c r="K291" s="69"/>
      <c r="L291" s="69"/>
      <c r="M291" s="68"/>
    </row>
    <row r="292" spans="1:51" ht="20.100000000000001" customHeight="1" x14ac:dyDescent="0.3">
      <c r="A292" s="25" t="s">
        <v>141</v>
      </c>
      <c r="B292" s="25" t="s">
        <v>140</v>
      </c>
      <c r="C292" s="24" t="s">
        <v>133</v>
      </c>
      <c r="D292" s="18">
        <v>9.4269999999999996</v>
      </c>
      <c r="E292" s="18"/>
      <c r="F292" s="18"/>
      <c r="G292" s="18"/>
      <c r="H292" s="18"/>
      <c r="I292" s="18"/>
      <c r="J292" s="18"/>
      <c r="K292" s="18"/>
      <c r="L292" s="18"/>
      <c r="M292" s="21"/>
      <c r="O292" t="str">
        <f>"03"</f>
        <v>03</v>
      </c>
      <c r="P292" t="s">
        <v>112</v>
      </c>
      <c r="Q292">
        <v>1</v>
      </c>
      <c r="R292">
        <f>IF(P292="기계경비", J292, 0)</f>
        <v>0</v>
      </c>
      <c r="S292">
        <f>IF(P292="운반비", L292, 0)</f>
        <v>0</v>
      </c>
      <c r="T292">
        <f>IF(P292="작업부산물", F292, 0)</f>
        <v>0</v>
      </c>
      <c r="U292">
        <f>IF(P292="관급", F292, 0)</f>
        <v>0</v>
      </c>
      <c r="V292">
        <f>IF(P292="외주비", J292, 0)</f>
        <v>0</v>
      </c>
      <c r="W292">
        <f>IF(P292="장비비", J292, 0)</f>
        <v>0</v>
      </c>
      <c r="X292">
        <f>IF(P292="폐기물처리비", L292, 0)</f>
        <v>0</v>
      </c>
      <c r="Y292">
        <f>IF(P292="가설비", J292, 0)</f>
        <v>0</v>
      </c>
      <c r="Z292">
        <f>IF(P292="잡비제외분", F292, 0)</f>
        <v>0</v>
      </c>
      <c r="AA292">
        <f>IF(P292="사급자재대", L292, 0)</f>
        <v>0</v>
      </c>
      <c r="AB292">
        <f>IF(P292="관급자재대", L292, 0)</f>
        <v>0</v>
      </c>
      <c r="AC292">
        <f>IF(P292="관급자관급", L292, 0)</f>
        <v>0</v>
      </c>
      <c r="AD292">
        <f>IF(P292="품질시험비", L292, 0)</f>
        <v>0</v>
      </c>
      <c r="AE292">
        <f>IF(P292="수도광열비", L292, 0)</f>
        <v>0</v>
      </c>
      <c r="AF292">
        <f>IF(P292="공기중석면농도측정비", L292, 0)</f>
        <v>0</v>
      </c>
      <c r="AG292">
        <f>IF(P292="사용자항목5", L292, 0)</f>
        <v>0</v>
      </c>
      <c r="AH292">
        <f>IF(P292="사용자항목6", L292, 0)</f>
        <v>0</v>
      </c>
      <c r="AI292">
        <f>IF(P292="사용자항목7", L292, 0)</f>
        <v>0</v>
      </c>
      <c r="AJ292">
        <f>IF(P292="관급자재대2", L292, 0)</f>
        <v>0</v>
      </c>
      <c r="AK292">
        <f>IF(P292="작업부산물", L292, 0)</f>
        <v>0</v>
      </c>
      <c r="AL292">
        <f>IF(P292="해체계획비및검토비", L292, 0)</f>
        <v>0</v>
      </c>
      <c r="AM292">
        <f>IF(P292="사용자항목11", L292, 0)</f>
        <v>0</v>
      </c>
      <c r="AN292">
        <f>IF(P292="사용자항목12", L292, 0)</f>
        <v>0</v>
      </c>
      <c r="AO292">
        <f>IF(P292="사용자항목13", L292, 0)</f>
        <v>0</v>
      </c>
      <c r="AP292">
        <f>IF(P292="사용자항목14", L292, 0)</f>
        <v>0</v>
      </c>
      <c r="AQ292">
        <f>IF(P292="사용자항목15", L292, 0)</f>
        <v>0</v>
      </c>
      <c r="AR292">
        <f>IF(P292="사용자항목16", L292, 0)</f>
        <v>0</v>
      </c>
      <c r="AS292">
        <f>IF(P292="사용자항목17", L292, 0)</f>
        <v>0</v>
      </c>
      <c r="AT292">
        <f>IF(P292="사용자항목18", L292, 0)</f>
        <v>0</v>
      </c>
      <c r="AU292">
        <f>IF(P292="사용자항목19", L292, 0)</f>
        <v>0</v>
      </c>
    </row>
    <row r="293" spans="1:51" ht="20.100000000000001" customHeight="1" x14ac:dyDescent="0.3">
      <c r="A293" s="25" t="s">
        <v>139</v>
      </c>
      <c r="B293" s="25" t="s">
        <v>138</v>
      </c>
      <c r="C293" s="24" t="s">
        <v>133</v>
      </c>
      <c r="D293" s="18">
        <v>2.5070000000000001</v>
      </c>
      <c r="E293" s="18"/>
      <c r="F293" s="18"/>
      <c r="G293" s="18"/>
      <c r="H293" s="18"/>
      <c r="I293" s="18"/>
      <c r="J293" s="18"/>
      <c r="K293" s="18"/>
      <c r="L293" s="18"/>
      <c r="M293" s="21"/>
      <c r="O293" t="str">
        <f>"03"</f>
        <v>03</v>
      </c>
      <c r="P293" t="s">
        <v>112</v>
      </c>
      <c r="Q293">
        <v>1</v>
      </c>
      <c r="R293">
        <f>IF(P293="기계경비", J293, 0)</f>
        <v>0</v>
      </c>
      <c r="S293">
        <f>IF(P293="운반비", L293, 0)</f>
        <v>0</v>
      </c>
      <c r="T293">
        <f>IF(P293="작업부산물", F293, 0)</f>
        <v>0</v>
      </c>
      <c r="U293">
        <f>IF(P293="관급", F293, 0)</f>
        <v>0</v>
      </c>
      <c r="V293">
        <f>IF(P293="외주비", J293, 0)</f>
        <v>0</v>
      </c>
      <c r="W293">
        <f>IF(P293="장비비", J293, 0)</f>
        <v>0</v>
      </c>
      <c r="X293">
        <f>IF(P293="폐기물처리비", L293, 0)</f>
        <v>0</v>
      </c>
      <c r="Y293">
        <f>IF(P293="가설비", J293, 0)</f>
        <v>0</v>
      </c>
      <c r="Z293">
        <f>IF(P293="잡비제외분", F293, 0)</f>
        <v>0</v>
      </c>
      <c r="AA293">
        <f>IF(P293="사급자재대", L293, 0)</f>
        <v>0</v>
      </c>
      <c r="AB293">
        <f>IF(P293="관급자재대", L293, 0)</f>
        <v>0</v>
      </c>
      <c r="AC293">
        <f>IF(P293="관급자관급", L293, 0)</f>
        <v>0</v>
      </c>
      <c r="AD293">
        <f>IF(P293="품질시험비", L293, 0)</f>
        <v>0</v>
      </c>
      <c r="AE293">
        <f>IF(P293="수도광열비", L293, 0)</f>
        <v>0</v>
      </c>
      <c r="AF293">
        <f>IF(P293="공기중석면농도측정비", L293, 0)</f>
        <v>0</v>
      </c>
      <c r="AG293">
        <f>IF(P293="사용자항목5", L293, 0)</f>
        <v>0</v>
      </c>
      <c r="AH293">
        <f>IF(P293="사용자항목6", L293, 0)</f>
        <v>0</v>
      </c>
      <c r="AI293">
        <f>IF(P293="사용자항목7", L293, 0)</f>
        <v>0</v>
      </c>
      <c r="AJ293">
        <f>IF(P293="관급자재대2", L293, 0)</f>
        <v>0</v>
      </c>
      <c r="AK293">
        <f>IF(P293="작업부산물", L293, 0)</f>
        <v>0</v>
      </c>
      <c r="AL293">
        <f>IF(P293="해체계획비및검토비", L293, 0)</f>
        <v>0</v>
      </c>
      <c r="AM293">
        <f>IF(P293="사용자항목11", L293, 0)</f>
        <v>0</v>
      </c>
      <c r="AN293">
        <f>IF(P293="사용자항목12", L293, 0)</f>
        <v>0</v>
      </c>
      <c r="AO293">
        <f>IF(P293="사용자항목13", L293, 0)</f>
        <v>0</v>
      </c>
      <c r="AP293">
        <f>IF(P293="사용자항목14", L293, 0)</f>
        <v>0</v>
      </c>
      <c r="AQ293">
        <f>IF(P293="사용자항목15", L293, 0)</f>
        <v>0</v>
      </c>
      <c r="AR293">
        <f>IF(P293="사용자항목16", L293, 0)</f>
        <v>0</v>
      </c>
      <c r="AS293">
        <f>IF(P293="사용자항목17", L293, 0)</f>
        <v>0</v>
      </c>
      <c r="AT293">
        <f>IF(P293="사용자항목18", L293, 0)</f>
        <v>0</v>
      </c>
      <c r="AU293">
        <f>IF(P293="사용자항목19", L293, 0)</f>
        <v>0</v>
      </c>
    </row>
    <row r="294" spans="1:51" ht="20.100000000000001" customHeight="1" x14ac:dyDescent="0.3">
      <c r="A294" s="25" t="s">
        <v>137</v>
      </c>
      <c r="B294" s="25" t="s">
        <v>136</v>
      </c>
      <c r="C294" s="24" t="s">
        <v>133</v>
      </c>
      <c r="D294" s="18">
        <v>9.4269999999999996</v>
      </c>
      <c r="E294" s="18"/>
      <c r="F294" s="18"/>
      <c r="G294" s="18"/>
      <c r="H294" s="18"/>
      <c r="I294" s="18"/>
      <c r="J294" s="18"/>
      <c r="K294" s="18"/>
      <c r="L294" s="18"/>
      <c r="M294" s="21"/>
      <c r="O294" t="str">
        <f>"03"</f>
        <v>03</v>
      </c>
      <c r="P294" t="s">
        <v>112</v>
      </c>
      <c r="Q294">
        <v>1</v>
      </c>
      <c r="R294">
        <f>IF(P294="기계경비", J294, 0)</f>
        <v>0</v>
      </c>
      <c r="S294">
        <f>IF(P294="운반비", L294, 0)</f>
        <v>0</v>
      </c>
      <c r="T294">
        <f>IF(P294="작업부산물", F294, 0)</f>
        <v>0</v>
      </c>
      <c r="U294">
        <f>IF(P294="관급", F294, 0)</f>
        <v>0</v>
      </c>
      <c r="V294">
        <f>IF(P294="외주비", J294, 0)</f>
        <v>0</v>
      </c>
      <c r="W294">
        <f>IF(P294="장비비", J294, 0)</f>
        <v>0</v>
      </c>
      <c r="X294">
        <f>IF(P294="폐기물처리비", L294, 0)</f>
        <v>0</v>
      </c>
      <c r="Y294">
        <f>IF(P294="가설비", J294, 0)</f>
        <v>0</v>
      </c>
      <c r="Z294">
        <f>IF(P294="잡비제외분", F294, 0)</f>
        <v>0</v>
      </c>
      <c r="AA294">
        <f>IF(P294="사급자재대", L294, 0)</f>
        <v>0</v>
      </c>
      <c r="AB294">
        <f>IF(P294="관급자재대", L294, 0)</f>
        <v>0</v>
      </c>
      <c r="AC294">
        <f>IF(P294="관급자관급", L294, 0)</f>
        <v>0</v>
      </c>
      <c r="AD294">
        <f>IF(P294="품질시험비", L294, 0)</f>
        <v>0</v>
      </c>
      <c r="AE294">
        <f>IF(P294="수도광열비", L294, 0)</f>
        <v>0</v>
      </c>
      <c r="AF294">
        <f>IF(P294="공기중석면농도측정비", L294, 0)</f>
        <v>0</v>
      </c>
      <c r="AG294">
        <f>IF(P294="사용자항목5", L294, 0)</f>
        <v>0</v>
      </c>
      <c r="AH294">
        <f>IF(P294="사용자항목6", L294, 0)</f>
        <v>0</v>
      </c>
      <c r="AI294">
        <f>IF(P294="사용자항목7", L294, 0)</f>
        <v>0</v>
      </c>
      <c r="AJ294">
        <f>IF(P294="관급자재대2", L294, 0)</f>
        <v>0</v>
      </c>
      <c r="AK294">
        <f>IF(P294="작업부산물", L294, 0)</f>
        <v>0</v>
      </c>
      <c r="AL294">
        <f>IF(P294="해체계획비및검토비", L294, 0)</f>
        <v>0</v>
      </c>
      <c r="AM294">
        <f>IF(P294="사용자항목11", L294, 0)</f>
        <v>0</v>
      </c>
      <c r="AN294">
        <f>IF(P294="사용자항목12", L294, 0)</f>
        <v>0</v>
      </c>
      <c r="AO294">
        <f>IF(P294="사용자항목13", L294, 0)</f>
        <v>0</v>
      </c>
      <c r="AP294">
        <f>IF(P294="사용자항목14", L294, 0)</f>
        <v>0</v>
      </c>
      <c r="AQ294">
        <f>IF(P294="사용자항목15", L294, 0)</f>
        <v>0</v>
      </c>
      <c r="AR294">
        <f>IF(P294="사용자항목16", L294, 0)</f>
        <v>0</v>
      </c>
      <c r="AS294">
        <f>IF(P294="사용자항목17", L294, 0)</f>
        <v>0</v>
      </c>
      <c r="AT294">
        <f>IF(P294="사용자항목18", L294, 0)</f>
        <v>0</v>
      </c>
      <c r="AU294">
        <f>IF(P294="사용자항목19", L294, 0)</f>
        <v>0</v>
      </c>
    </row>
    <row r="295" spans="1:51" ht="20.100000000000001" customHeight="1" x14ac:dyDescent="0.3">
      <c r="A295" s="25" t="s">
        <v>135</v>
      </c>
      <c r="B295" s="25" t="s">
        <v>134</v>
      </c>
      <c r="C295" s="24" t="s">
        <v>133</v>
      </c>
      <c r="D295" s="18">
        <v>2.5070000000000001</v>
      </c>
      <c r="E295" s="18"/>
      <c r="F295" s="18"/>
      <c r="G295" s="18"/>
      <c r="H295" s="18"/>
      <c r="I295" s="18"/>
      <c r="J295" s="18"/>
      <c r="K295" s="18"/>
      <c r="L295" s="18"/>
      <c r="M295" s="21"/>
      <c r="O295" t="str">
        <f>"03"</f>
        <v>03</v>
      </c>
      <c r="P295" t="s">
        <v>112</v>
      </c>
      <c r="Q295">
        <v>1</v>
      </c>
      <c r="R295">
        <f>IF(P295="기계경비", J295, 0)</f>
        <v>0</v>
      </c>
      <c r="S295">
        <f>IF(P295="운반비", L295, 0)</f>
        <v>0</v>
      </c>
      <c r="T295">
        <f>IF(P295="작업부산물", F295, 0)</f>
        <v>0</v>
      </c>
      <c r="U295">
        <f>IF(P295="관급", F295, 0)</f>
        <v>0</v>
      </c>
      <c r="V295">
        <f>IF(P295="외주비", J295, 0)</f>
        <v>0</v>
      </c>
      <c r="W295">
        <f>IF(P295="장비비", J295, 0)</f>
        <v>0</v>
      </c>
      <c r="X295">
        <f>IF(P295="폐기물처리비", L295, 0)</f>
        <v>0</v>
      </c>
      <c r="Y295">
        <f>IF(P295="가설비", J295, 0)</f>
        <v>0</v>
      </c>
      <c r="Z295">
        <f>IF(P295="잡비제외분", F295, 0)</f>
        <v>0</v>
      </c>
      <c r="AA295">
        <f>IF(P295="사급자재대", L295, 0)</f>
        <v>0</v>
      </c>
      <c r="AB295">
        <f>IF(P295="관급자재대", L295, 0)</f>
        <v>0</v>
      </c>
      <c r="AC295">
        <f>IF(P295="관급자관급", L295, 0)</f>
        <v>0</v>
      </c>
      <c r="AD295">
        <f>IF(P295="품질시험비", L295, 0)</f>
        <v>0</v>
      </c>
      <c r="AE295">
        <f>IF(P295="수도광열비", L295, 0)</f>
        <v>0</v>
      </c>
      <c r="AF295">
        <f>IF(P295="공기중석면농도측정비", L295, 0)</f>
        <v>0</v>
      </c>
      <c r="AG295">
        <f>IF(P295="사용자항목5", L295, 0)</f>
        <v>0</v>
      </c>
      <c r="AH295">
        <f>IF(P295="사용자항목6", L295, 0)</f>
        <v>0</v>
      </c>
      <c r="AI295">
        <f>IF(P295="사용자항목7", L295, 0)</f>
        <v>0</v>
      </c>
      <c r="AJ295">
        <f>IF(P295="관급자재대2", L295, 0)</f>
        <v>0</v>
      </c>
      <c r="AK295">
        <f>IF(P295="작업부산물", L295, 0)</f>
        <v>0</v>
      </c>
      <c r="AL295">
        <f>IF(P295="해체계획비및검토비", L295, 0)</f>
        <v>0</v>
      </c>
      <c r="AM295">
        <f>IF(P295="사용자항목11", L295, 0)</f>
        <v>0</v>
      </c>
      <c r="AN295">
        <f>IF(P295="사용자항목12", L295, 0)</f>
        <v>0</v>
      </c>
      <c r="AO295">
        <f>IF(P295="사용자항목13", L295, 0)</f>
        <v>0</v>
      </c>
      <c r="AP295">
        <f>IF(P295="사용자항목14", L295, 0)</f>
        <v>0</v>
      </c>
      <c r="AQ295">
        <f>IF(P295="사용자항목15", L295, 0)</f>
        <v>0</v>
      </c>
      <c r="AR295">
        <f>IF(P295="사용자항목16", L295, 0)</f>
        <v>0</v>
      </c>
      <c r="AS295">
        <f>IF(P295="사용자항목17", L295, 0)</f>
        <v>0</v>
      </c>
      <c r="AT295">
        <f>IF(P295="사용자항목18", L295, 0)</f>
        <v>0</v>
      </c>
      <c r="AU295">
        <f>IF(P295="사용자항목19", L295, 0)</f>
        <v>0</v>
      </c>
    </row>
    <row r="296" spans="1:51" ht="20.100000000000001" customHeight="1" x14ac:dyDescent="0.3">
      <c r="A296" s="23"/>
      <c r="B296" s="23"/>
      <c r="C296" s="21"/>
      <c r="D296" s="18"/>
      <c r="E296" s="18"/>
      <c r="F296" s="18"/>
      <c r="G296" s="18"/>
      <c r="H296" s="18"/>
      <c r="I296" s="18"/>
      <c r="J296" s="18"/>
      <c r="K296" s="18"/>
      <c r="L296" s="18"/>
      <c r="M296" s="21"/>
    </row>
    <row r="297" spans="1:51" ht="20.100000000000001" customHeight="1" x14ac:dyDescent="0.3">
      <c r="A297" s="23"/>
      <c r="B297" s="23"/>
      <c r="C297" s="21"/>
      <c r="D297" s="18"/>
      <c r="E297" s="18"/>
      <c r="F297" s="18"/>
      <c r="G297" s="18"/>
      <c r="H297" s="18"/>
      <c r="I297" s="18"/>
      <c r="J297" s="18"/>
      <c r="K297" s="18"/>
      <c r="L297" s="18"/>
      <c r="M297" s="21"/>
    </row>
    <row r="298" spans="1:51" ht="20.100000000000001" customHeight="1" x14ac:dyDescent="0.3">
      <c r="A298" s="23"/>
      <c r="B298" s="23"/>
      <c r="C298" s="21"/>
      <c r="D298" s="18"/>
      <c r="E298" s="18"/>
      <c r="F298" s="18"/>
      <c r="G298" s="18"/>
      <c r="H298" s="18"/>
      <c r="I298" s="18"/>
      <c r="J298" s="18"/>
      <c r="K298" s="18"/>
      <c r="L298" s="18"/>
      <c r="M298" s="21"/>
    </row>
    <row r="299" spans="1:51" ht="20.100000000000001" customHeight="1" x14ac:dyDescent="0.3">
      <c r="A299" s="23"/>
      <c r="B299" s="23"/>
      <c r="C299" s="21"/>
      <c r="D299" s="18"/>
      <c r="E299" s="18"/>
      <c r="F299" s="18"/>
      <c r="G299" s="18"/>
      <c r="H299" s="18"/>
      <c r="I299" s="18"/>
      <c r="J299" s="18"/>
      <c r="K299" s="18"/>
      <c r="L299" s="18"/>
      <c r="M299" s="21"/>
    </row>
    <row r="300" spans="1:51" ht="20.100000000000001" customHeight="1" x14ac:dyDescent="0.3">
      <c r="A300" s="23"/>
      <c r="B300" s="23"/>
      <c r="C300" s="21"/>
      <c r="D300" s="18"/>
      <c r="E300" s="18"/>
      <c r="F300" s="18"/>
      <c r="G300" s="18"/>
      <c r="H300" s="18"/>
      <c r="I300" s="18"/>
      <c r="J300" s="18"/>
      <c r="K300" s="18"/>
      <c r="L300" s="18"/>
      <c r="M300" s="21"/>
    </row>
    <row r="301" spans="1:51" ht="20.100000000000001" customHeight="1" x14ac:dyDescent="0.3">
      <c r="A301" s="23"/>
      <c r="B301" s="23"/>
      <c r="C301" s="21"/>
      <c r="D301" s="18"/>
      <c r="E301" s="18"/>
      <c r="F301" s="18"/>
      <c r="G301" s="18"/>
      <c r="H301" s="18"/>
      <c r="I301" s="18"/>
      <c r="J301" s="18"/>
      <c r="K301" s="18"/>
      <c r="L301" s="18"/>
      <c r="M301" s="21"/>
    </row>
    <row r="302" spans="1:51" ht="20.100000000000001" customHeight="1" x14ac:dyDescent="0.3">
      <c r="A302" s="23"/>
      <c r="B302" s="23"/>
      <c r="C302" s="21"/>
      <c r="D302" s="18"/>
      <c r="E302" s="18"/>
      <c r="F302" s="18"/>
      <c r="G302" s="18"/>
      <c r="H302" s="18"/>
      <c r="I302" s="18"/>
      <c r="J302" s="18"/>
      <c r="K302" s="18"/>
      <c r="L302" s="18"/>
      <c r="M302" s="21"/>
    </row>
    <row r="303" spans="1:51" ht="20.100000000000001" customHeight="1" x14ac:dyDescent="0.3">
      <c r="A303" s="23"/>
      <c r="B303" s="23"/>
      <c r="C303" s="21"/>
      <c r="D303" s="18"/>
      <c r="E303" s="18"/>
      <c r="F303" s="18"/>
      <c r="G303" s="18"/>
      <c r="H303" s="18"/>
      <c r="I303" s="18"/>
      <c r="J303" s="18"/>
      <c r="K303" s="18"/>
      <c r="L303" s="18"/>
      <c r="M303" s="21"/>
    </row>
    <row r="304" spans="1:51" ht="20.100000000000001" customHeight="1" x14ac:dyDescent="0.3">
      <c r="A304" s="23"/>
      <c r="B304" s="23"/>
      <c r="C304" s="21"/>
      <c r="D304" s="18"/>
      <c r="E304" s="18"/>
      <c r="F304" s="18"/>
      <c r="G304" s="18"/>
      <c r="H304" s="18"/>
      <c r="I304" s="18"/>
      <c r="J304" s="18"/>
      <c r="K304" s="18"/>
      <c r="L304" s="18"/>
      <c r="M304" s="21"/>
    </row>
    <row r="305" spans="1:51" ht="20.100000000000001" customHeight="1" x14ac:dyDescent="0.3">
      <c r="A305" s="23"/>
      <c r="B305" s="23"/>
      <c r="C305" s="21"/>
      <c r="D305" s="18"/>
      <c r="E305" s="18"/>
      <c r="F305" s="18"/>
      <c r="G305" s="18"/>
      <c r="H305" s="18"/>
      <c r="I305" s="18"/>
      <c r="J305" s="18"/>
      <c r="K305" s="18"/>
      <c r="L305" s="18"/>
      <c r="M305" s="21"/>
    </row>
    <row r="306" spans="1:51" ht="20.100000000000001" customHeight="1" x14ac:dyDescent="0.3">
      <c r="A306" s="23"/>
      <c r="B306" s="23"/>
      <c r="C306" s="21"/>
      <c r="D306" s="18"/>
      <c r="E306" s="18"/>
      <c r="F306" s="18"/>
      <c r="G306" s="18"/>
      <c r="H306" s="18"/>
      <c r="I306" s="18"/>
      <c r="J306" s="18"/>
      <c r="K306" s="18"/>
      <c r="L306" s="18"/>
      <c r="M306" s="21"/>
    </row>
    <row r="307" spans="1:51" ht="20.100000000000001" customHeight="1" x14ac:dyDescent="0.3">
      <c r="A307" s="23"/>
      <c r="B307" s="23"/>
      <c r="C307" s="21"/>
      <c r="D307" s="18"/>
      <c r="E307" s="18"/>
      <c r="F307" s="18"/>
      <c r="G307" s="18"/>
      <c r="H307" s="18"/>
      <c r="I307" s="18"/>
      <c r="J307" s="18"/>
      <c r="K307" s="18"/>
      <c r="L307" s="18"/>
      <c r="M307" s="21"/>
    </row>
    <row r="308" spans="1:51" ht="20.100000000000001" customHeight="1" x14ac:dyDescent="0.3">
      <c r="A308" s="23"/>
      <c r="B308" s="23"/>
      <c r="C308" s="21"/>
      <c r="D308" s="18"/>
      <c r="E308" s="18"/>
      <c r="F308" s="18"/>
      <c r="G308" s="18"/>
      <c r="H308" s="18"/>
      <c r="I308" s="18"/>
      <c r="J308" s="18"/>
      <c r="K308" s="18"/>
      <c r="L308" s="18"/>
      <c r="M308" s="21"/>
    </row>
    <row r="309" spans="1:51" ht="20.100000000000001" customHeight="1" x14ac:dyDescent="0.3">
      <c r="A309" s="23"/>
      <c r="B309" s="23"/>
      <c r="C309" s="21"/>
      <c r="D309" s="18"/>
      <c r="E309" s="18"/>
      <c r="F309" s="18"/>
      <c r="G309" s="18"/>
      <c r="H309" s="18"/>
      <c r="I309" s="18"/>
      <c r="J309" s="18"/>
      <c r="K309" s="18"/>
      <c r="L309" s="18"/>
      <c r="M309" s="21"/>
    </row>
    <row r="310" spans="1:51" ht="20.100000000000001" customHeight="1" x14ac:dyDescent="0.3">
      <c r="A310" s="23"/>
      <c r="B310" s="23"/>
      <c r="C310" s="21"/>
      <c r="D310" s="18"/>
      <c r="E310" s="18"/>
      <c r="F310" s="18"/>
      <c r="G310" s="18"/>
      <c r="H310" s="18"/>
      <c r="I310" s="18"/>
      <c r="J310" s="18"/>
      <c r="K310" s="18"/>
      <c r="L310" s="18"/>
      <c r="M310" s="21"/>
    </row>
    <row r="311" spans="1:51" ht="20.100000000000001" customHeight="1" x14ac:dyDescent="0.3">
      <c r="A311" s="23"/>
      <c r="B311" s="23"/>
      <c r="C311" s="21"/>
      <c r="D311" s="18"/>
      <c r="E311" s="18"/>
      <c r="F311" s="18"/>
      <c r="G311" s="18"/>
      <c r="H311" s="18"/>
      <c r="I311" s="18"/>
      <c r="J311" s="18"/>
      <c r="K311" s="18"/>
      <c r="L311" s="18"/>
      <c r="M311" s="21"/>
    </row>
    <row r="312" spans="1:51" ht="20.100000000000001" customHeight="1" x14ac:dyDescent="0.3">
      <c r="A312" s="20" t="s">
        <v>68</v>
      </c>
      <c r="B312" s="6"/>
      <c r="C312" s="17"/>
      <c r="D312" s="4"/>
      <c r="E312" s="18"/>
      <c r="F312" s="4">
        <f>ROUNDDOWN(SUMIF(Q292:Q311, "1", F292:F311), 0)</f>
        <v>0</v>
      </c>
      <c r="G312" s="18"/>
      <c r="H312" s="4">
        <f>ROUNDDOWN(SUMIF(Q292:Q311, "1", H292:H311), 0)</f>
        <v>0</v>
      </c>
      <c r="I312" s="18"/>
      <c r="J312" s="4">
        <f>ROUNDDOWN(SUMIF(Q292:Q311, "1", J292:J311), 0)</f>
        <v>0</v>
      </c>
      <c r="K312" s="18"/>
      <c r="L312" s="4">
        <f>F312+H312+J312</f>
        <v>0</v>
      </c>
      <c r="M312" s="17"/>
      <c r="R312">
        <f t="shared" ref="R312:AY312" si="192">ROUNDDOWN(SUM(R292:R295), 0)</f>
        <v>0</v>
      </c>
      <c r="S312">
        <f t="shared" si="192"/>
        <v>0</v>
      </c>
      <c r="T312">
        <f t="shared" si="192"/>
        <v>0</v>
      </c>
      <c r="U312">
        <f t="shared" si="192"/>
        <v>0</v>
      </c>
      <c r="V312">
        <f t="shared" si="192"/>
        <v>0</v>
      </c>
      <c r="W312">
        <f t="shared" si="192"/>
        <v>0</v>
      </c>
      <c r="X312">
        <f t="shared" si="192"/>
        <v>0</v>
      </c>
      <c r="Y312">
        <f t="shared" si="192"/>
        <v>0</v>
      </c>
      <c r="Z312">
        <f t="shared" si="192"/>
        <v>0</v>
      </c>
      <c r="AA312">
        <f t="shared" si="192"/>
        <v>0</v>
      </c>
      <c r="AB312">
        <f t="shared" si="192"/>
        <v>0</v>
      </c>
      <c r="AC312">
        <f t="shared" si="192"/>
        <v>0</v>
      </c>
      <c r="AD312">
        <f t="shared" si="192"/>
        <v>0</v>
      </c>
      <c r="AE312">
        <f t="shared" si="192"/>
        <v>0</v>
      </c>
      <c r="AF312">
        <f t="shared" si="192"/>
        <v>0</v>
      </c>
      <c r="AG312">
        <f t="shared" si="192"/>
        <v>0</v>
      </c>
      <c r="AH312">
        <f t="shared" si="192"/>
        <v>0</v>
      </c>
      <c r="AI312">
        <f t="shared" si="192"/>
        <v>0</v>
      </c>
      <c r="AJ312">
        <f t="shared" si="192"/>
        <v>0</v>
      </c>
      <c r="AK312">
        <f t="shared" si="192"/>
        <v>0</v>
      </c>
      <c r="AL312">
        <f t="shared" si="192"/>
        <v>0</v>
      </c>
      <c r="AM312">
        <f t="shared" si="192"/>
        <v>0</v>
      </c>
      <c r="AN312">
        <f t="shared" si="192"/>
        <v>0</v>
      </c>
      <c r="AO312">
        <f t="shared" si="192"/>
        <v>0</v>
      </c>
      <c r="AP312">
        <f t="shared" si="192"/>
        <v>0</v>
      </c>
      <c r="AQ312">
        <f t="shared" si="192"/>
        <v>0</v>
      </c>
      <c r="AR312">
        <f t="shared" si="192"/>
        <v>0</v>
      </c>
      <c r="AS312">
        <f t="shared" si="192"/>
        <v>0</v>
      </c>
      <c r="AT312">
        <f t="shared" si="192"/>
        <v>0</v>
      </c>
      <c r="AU312">
        <f t="shared" si="192"/>
        <v>0</v>
      </c>
      <c r="AV312">
        <f t="shared" si="192"/>
        <v>0</v>
      </c>
      <c r="AW312">
        <f t="shared" si="192"/>
        <v>0</v>
      </c>
      <c r="AX312">
        <f t="shared" si="192"/>
        <v>0</v>
      </c>
      <c r="AY312">
        <f t="shared" si="192"/>
        <v>0</v>
      </c>
    </row>
    <row r="313" spans="1:51" ht="20.100000000000001" customHeight="1" x14ac:dyDescent="0.3"/>
    <row r="314" spans="1:51" ht="20.100000000000001" customHeight="1" x14ac:dyDescent="0.3"/>
    <row r="315" spans="1:51" ht="20.100000000000001" customHeight="1" x14ac:dyDescent="0.3"/>
    <row r="316" spans="1:51" ht="20.100000000000001" customHeight="1" x14ac:dyDescent="0.3"/>
    <row r="317" spans="1:51" ht="20.100000000000001" customHeight="1" x14ac:dyDescent="0.3"/>
    <row r="318" spans="1:51" ht="20.100000000000001" customHeight="1" x14ac:dyDescent="0.3"/>
    <row r="319" spans="1:51" ht="20.100000000000001" customHeight="1" x14ac:dyDescent="0.3"/>
    <row r="320" spans="1:51" ht="20.100000000000001" customHeight="1" x14ac:dyDescent="0.3"/>
    <row r="321" ht="20.100000000000001" customHeight="1" x14ac:dyDescent="0.3"/>
    <row r="322" ht="20.100000000000001" customHeight="1" x14ac:dyDescent="0.3"/>
    <row r="323" ht="20.100000000000001" customHeight="1" x14ac:dyDescent="0.3"/>
    <row r="324" ht="20.100000000000001" customHeight="1" x14ac:dyDescent="0.3"/>
    <row r="325" ht="20.100000000000001" customHeight="1" x14ac:dyDescent="0.3"/>
    <row r="326" ht="20.100000000000001" customHeight="1" x14ac:dyDescent="0.3"/>
    <row r="327" ht="20.100000000000001" customHeight="1" x14ac:dyDescent="0.3"/>
    <row r="328" ht="20.100000000000001" customHeight="1" x14ac:dyDescent="0.3"/>
    <row r="329" ht="20.100000000000001" customHeight="1" x14ac:dyDescent="0.3"/>
    <row r="330" ht="20.100000000000001" customHeight="1" x14ac:dyDescent="0.3"/>
    <row r="331" ht="20.100000000000001" customHeight="1" x14ac:dyDescent="0.3"/>
    <row r="332" ht="20.100000000000001" customHeight="1" x14ac:dyDescent="0.3"/>
    <row r="333" ht="20.100000000000001" customHeight="1" x14ac:dyDescent="0.3"/>
    <row r="334" ht="20.100000000000001" customHeight="1" x14ac:dyDescent="0.3"/>
  </sheetData>
  <mergeCells count="24">
    <mergeCell ref="A71:M71"/>
    <mergeCell ref="A269:M269"/>
    <mergeCell ref="A291:M291"/>
    <mergeCell ref="A115:M115"/>
    <mergeCell ref="A159:M159"/>
    <mergeCell ref="A181:M181"/>
    <mergeCell ref="A203:M203"/>
    <mergeCell ref="A225:M225"/>
    <mergeCell ref="A247:M247"/>
    <mergeCell ref="A93:M93"/>
    <mergeCell ref="A27:M27"/>
    <mergeCell ref="A49:M49"/>
    <mergeCell ref="A1:M1"/>
    <mergeCell ref="A2:M2"/>
    <mergeCell ref="A3:A4"/>
    <mergeCell ref="B3:B4"/>
    <mergeCell ref="C3:C4"/>
    <mergeCell ref="D3:D4"/>
    <mergeCell ref="M3:M4"/>
    <mergeCell ref="E3:F3"/>
    <mergeCell ref="G3:H3"/>
    <mergeCell ref="I3:J3"/>
    <mergeCell ref="K3:L3"/>
    <mergeCell ref="A5:M5"/>
  </mergeCells>
  <phoneticPr fontId="1" type="noConversion"/>
  <conditionalFormatting sqref="A5:M312">
    <cfRule type="containsText" dxfId="1" priority="1" stopIfTrue="1" operator="containsText" text=".">
      <formula>NOT(ISERROR(SEARCH(".",A5)))</formula>
    </cfRule>
    <cfRule type="notContainsText" dxfId="0" priority="2" stopIfTrue="1" operator="notContains" text=".">
      <formula>ISERROR(SEARCH(".",A5))</formula>
    </cfRule>
  </conditionalFormatting>
  <pageMargins left="0.55335110670221332" right="0" top="0.43834087668175337" bottom="0.1388888888888889" header="0.3" footer="0.1388888888888889"/>
  <pageSetup paperSize="9" orientation="landscape" r:id="rId1"/>
  <rowBreaks count="14" manualBreakCount="14">
    <brk id="26" max="12" man="1"/>
    <brk id="48" max="12" man="1"/>
    <brk id="70" max="12" man="1"/>
    <brk id="92" max="12" man="1"/>
    <brk id="114" max="12" man="1"/>
    <brk id="136" max="12" man="1"/>
    <brk id="158" max="12" man="1"/>
    <brk id="180" max="12" man="1"/>
    <brk id="202" max="12" man="1"/>
    <brk id="224" max="12" man="1"/>
    <brk id="246" max="12" man="1"/>
    <brk id="268" max="12" man="1"/>
    <brk id="290" max="12" man="1"/>
    <brk id="312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4FAE-0155-4106-84C3-A77BD1E12B75}">
  <sheetPr>
    <pageSetUpPr fitToPage="1"/>
  </sheetPr>
  <dimension ref="A1:AV123"/>
  <sheetViews>
    <sheetView workbookViewId="0">
      <selection activeCell="K29" sqref="K29"/>
    </sheetView>
  </sheetViews>
  <sheetFormatPr defaultRowHeight="16.5" x14ac:dyDescent="0.3"/>
  <cols>
    <col min="1" max="2" width="30.625" customWidth="1"/>
    <col min="3" max="3" width="4.625" customWidth="1"/>
    <col min="4" max="4" width="8.625" customWidth="1"/>
    <col min="5" max="12" width="13.625" customWidth="1"/>
    <col min="13" max="13" width="12.625" customWidth="1"/>
    <col min="14" max="43" width="2.625" hidden="1" customWidth="1"/>
    <col min="44" max="44" width="10.625" hidden="1" customWidth="1"/>
    <col min="45" max="46" width="1.625" hidden="1" customWidth="1"/>
    <col min="47" max="47" width="24.625" hidden="1" customWidth="1"/>
    <col min="48" max="48" width="10.625" hidden="1" customWidth="1"/>
  </cols>
  <sheetData>
    <row r="1" spans="1:48" ht="30" customHeight="1" x14ac:dyDescent="0.3">
      <c r="A1" s="36" t="s">
        <v>372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4"/>
    </row>
    <row r="2" spans="1:48" ht="30" customHeight="1" x14ac:dyDescent="0.3">
      <c r="A2" s="64" t="s">
        <v>131</v>
      </c>
      <c r="B2" s="64" t="s">
        <v>347</v>
      </c>
      <c r="C2" s="64" t="s">
        <v>130</v>
      </c>
      <c r="D2" s="64" t="s">
        <v>129</v>
      </c>
      <c r="E2" s="64" t="s">
        <v>128</v>
      </c>
      <c r="F2" s="64"/>
      <c r="G2" s="64" t="s">
        <v>127</v>
      </c>
      <c r="H2" s="64"/>
      <c r="I2" s="64" t="s">
        <v>126</v>
      </c>
      <c r="J2" s="64"/>
      <c r="K2" s="64" t="s">
        <v>125</v>
      </c>
      <c r="L2" s="64"/>
      <c r="M2" s="64" t="s">
        <v>371</v>
      </c>
      <c r="N2" s="66" t="s">
        <v>529</v>
      </c>
      <c r="O2" s="66" t="s">
        <v>369</v>
      </c>
      <c r="P2" s="66" t="s">
        <v>528</v>
      </c>
      <c r="Q2" s="66" t="s">
        <v>370</v>
      </c>
      <c r="R2" s="66" t="s">
        <v>527</v>
      </c>
      <c r="S2" s="66" t="s">
        <v>526</v>
      </c>
      <c r="T2" s="66" t="s">
        <v>525</v>
      </c>
      <c r="U2" s="66" t="s">
        <v>524</v>
      </c>
      <c r="V2" s="66" t="s">
        <v>523</v>
      </c>
      <c r="W2" s="66" t="s">
        <v>522</v>
      </c>
      <c r="X2" s="66" t="s">
        <v>521</v>
      </c>
      <c r="Y2" s="66" t="s">
        <v>520</v>
      </c>
      <c r="Z2" s="66" t="s">
        <v>519</v>
      </c>
      <c r="AA2" s="66" t="s">
        <v>518</v>
      </c>
      <c r="AB2" s="66" t="s">
        <v>517</v>
      </c>
      <c r="AC2" s="66" t="s">
        <v>516</v>
      </c>
      <c r="AD2" s="66" t="s">
        <v>515</v>
      </c>
      <c r="AE2" s="66" t="s">
        <v>514</v>
      </c>
      <c r="AF2" s="66" t="s">
        <v>513</v>
      </c>
      <c r="AG2" s="66" t="s">
        <v>512</v>
      </c>
      <c r="AH2" s="66" t="s">
        <v>511</v>
      </c>
      <c r="AI2" s="66" t="s">
        <v>510</v>
      </c>
      <c r="AJ2" s="66" t="s">
        <v>509</v>
      </c>
      <c r="AK2" s="66" t="s">
        <v>508</v>
      </c>
      <c r="AL2" s="66" t="s">
        <v>507</v>
      </c>
      <c r="AM2" s="66" t="s">
        <v>506</v>
      </c>
      <c r="AN2" s="66" t="s">
        <v>505</v>
      </c>
      <c r="AO2" s="66" t="s">
        <v>504</v>
      </c>
      <c r="AP2" s="66" t="s">
        <v>503</v>
      </c>
      <c r="AQ2" s="66" t="s">
        <v>502</v>
      </c>
      <c r="AR2" s="66" t="s">
        <v>501</v>
      </c>
      <c r="AS2" s="66" t="s">
        <v>367</v>
      </c>
      <c r="AT2" s="66" t="s">
        <v>366</v>
      </c>
      <c r="AU2" s="66" t="s">
        <v>500</v>
      </c>
      <c r="AV2" s="66" t="s">
        <v>499</v>
      </c>
    </row>
    <row r="3" spans="1:48" ht="30" customHeight="1" x14ac:dyDescent="0.3">
      <c r="A3" s="64"/>
      <c r="B3" s="64"/>
      <c r="C3" s="64"/>
      <c r="D3" s="64"/>
      <c r="E3" s="45" t="s">
        <v>123</v>
      </c>
      <c r="F3" s="45" t="s">
        <v>363</v>
      </c>
      <c r="G3" s="45" t="s">
        <v>123</v>
      </c>
      <c r="H3" s="45" t="s">
        <v>363</v>
      </c>
      <c r="I3" s="45" t="s">
        <v>123</v>
      </c>
      <c r="J3" s="45" t="s">
        <v>363</v>
      </c>
      <c r="K3" s="45" t="s">
        <v>123</v>
      </c>
      <c r="L3" s="45" t="s">
        <v>363</v>
      </c>
      <c r="M3" s="64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</row>
    <row r="4" spans="1:48" ht="30" customHeight="1" x14ac:dyDescent="0.3">
      <c r="A4" s="39" t="s">
        <v>360</v>
      </c>
      <c r="B4" s="39" t="s">
        <v>0</v>
      </c>
      <c r="C4" s="27"/>
      <c r="D4" s="27"/>
      <c r="E4" s="28"/>
      <c r="F4" s="28"/>
      <c r="G4" s="28"/>
      <c r="H4" s="28"/>
      <c r="I4" s="28"/>
      <c r="J4" s="28"/>
      <c r="K4" s="28"/>
      <c r="L4" s="28"/>
      <c r="M4" s="27"/>
      <c r="N4" s="32"/>
      <c r="O4" s="32"/>
      <c r="P4" s="32"/>
      <c r="Q4" s="31" t="s">
        <v>359</v>
      </c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</row>
    <row r="5" spans="1:48" ht="30" customHeight="1" x14ac:dyDescent="0.3">
      <c r="A5" s="39" t="s">
        <v>498</v>
      </c>
      <c r="B5" s="39" t="s">
        <v>497</v>
      </c>
      <c r="C5" s="39" t="s">
        <v>341</v>
      </c>
      <c r="D5" s="27">
        <v>1</v>
      </c>
      <c r="E5" s="28"/>
      <c r="F5" s="28"/>
      <c r="G5" s="28"/>
      <c r="H5" s="28"/>
      <c r="I5" s="28"/>
      <c r="J5" s="28"/>
      <c r="K5" s="28"/>
      <c r="L5" s="28"/>
      <c r="M5" s="39" t="s">
        <v>496</v>
      </c>
      <c r="N5" s="31" t="s">
        <v>495</v>
      </c>
      <c r="O5" s="31" t="s">
        <v>0</v>
      </c>
      <c r="P5" s="31" t="s">
        <v>0</v>
      </c>
      <c r="Q5" s="31" t="s">
        <v>359</v>
      </c>
      <c r="R5" s="31" t="s">
        <v>376</v>
      </c>
      <c r="S5" s="31" t="s">
        <v>6</v>
      </c>
      <c r="T5" s="31" t="s">
        <v>6</v>
      </c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1" t="s">
        <v>0</v>
      </c>
      <c r="AS5" s="31" t="s">
        <v>0</v>
      </c>
      <c r="AT5" s="32"/>
      <c r="AU5" s="31" t="s">
        <v>494</v>
      </c>
      <c r="AV5" s="32">
        <v>7</v>
      </c>
    </row>
    <row r="6" spans="1:48" ht="30" customHeight="1" x14ac:dyDescent="0.3">
      <c r="A6" s="39" t="s">
        <v>493</v>
      </c>
      <c r="B6" s="39" t="s">
        <v>492</v>
      </c>
      <c r="C6" s="39" t="s">
        <v>310</v>
      </c>
      <c r="D6" s="27">
        <v>1</v>
      </c>
      <c r="E6" s="28"/>
      <c r="F6" s="28"/>
      <c r="G6" s="28"/>
      <c r="H6" s="28"/>
      <c r="I6" s="28"/>
      <c r="J6" s="28"/>
      <c r="K6" s="28"/>
      <c r="L6" s="28"/>
      <c r="M6" s="39" t="s">
        <v>491</v>
      </c>
      <c r="N6" s="31" t="s">
        <v>490</v>
      </c>
      <c r="O6" s="31" t="s">
        <v>0</v>
      </c>
      <c r="P6" s="31" t="s">
        <v>0</v>
      </c>
      <c r="Q6" s="31" t="s">
        <v>359</v>
      </c>
      <c r="R6" s="31" t="s">
        <v>376</v>
      </c>
      <c r="S6" s="31" t="s">
        <v>6</v>
      </c>
      <c r="T6" s="31" t="s">
        <v>6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1" t="s">
        <v>0</v>
      </c>
      <c r="AS6" s="31" t="s">
        <v>0</v>
      </c>
      <c r="AT6" s="32"/>
      <c r="AU6" s="31" t="s">
        <v>489</v>
      </c>
      <c r="AV6" s="32">
        <v>8</v>
      </c>
    </row>
    <row r="7" spans="1:48" ht="30" customHeight="1" x14ac:dyDescent="0.3">
      <c r="A7" s="27"/>
      <c r="B7" s="27"/>
      <c r="C7" s="27"/>
      <c r="D7" s="27"/>
      <c r="E7" s="28"/>
      <c r="F7" s="28"/>
      <c r="G7" s="28"/>
      <c r="H7" s="28"/>
      <c r="I7" s="28"/>
      <c r="J7" s="28"/>
      <c r="K7" s="28"/>
      <c r="L7" s="28"/>
      <c r="M7" s="27"/>
      <c r="Q7" s="5" t="s">
        <v>359</v>
      </c>
    </row>
    <row r="8" spans="1:48" ht="30" customHeight="1" x14ac:dyDescent="0.3">
      <c r="A8" s="27"/>
      <c r="B8" s="27"/>
      <c r="C8" s="27"/>
      <c r="D8" s="27"/>
      <c r="E8" s="28"/>
      <c r="F8" s="28"/>
      <c r="G8" s="28"/>
      <c r="H8" s="28"/>
      <c r="I8" s="28"/>
      <c r="J8" s="28"/>
      <c r="K8" s="28"/>
      <c r="L8" s="28"/>
      <c r="M8" s="27"/>
      <c r="Q8" s="5" t="s">
        <v>359</v>
      </c>
    </row>
    <row r="9" spans="1:48" ht="30" customHeight="1" x14ac:dyDescent="0.3">
      <c r="A9" s="27"/>
      <c r="B9" s="27"/>
      <c r="C9" s="27"/>
      <c r="D9" s="27"/>
      <c r="E9" s="28"/>
      <c r="F9" s="28"/>
      <c r="G9" s="28"/>
      <c r="H9" s="28"/>
      <c r="I9" s="28"/>
      <c r="J9" s="28"/>
      <c r="K9" s="28"/>
      <c r="L9" s="28"/>
      <c r="M9" s="27"/>
      <c r="Q9" s="5" t="s">
        <v>359</v>
      </c>
    </row>
    <row r="10" spans="1:48" ht="30" customHeight="1" x14ac:dyDescent="0.3">
      <c r="A10" s="27"/>
      <c r="B10" s="27"/>
      <c r="C10" s="27"/>
      <c r="D10" s="27"/>
      <c r="E10" s="28"/>
      <c r="F10" s="28"/>
      <c r="G10" s="28"/>
      <c r="H10" s="28"/>
      <c r="I10" s="28"/>
      <c r="J10" s="28"/>
      <c r="K10" s="28"/>
      <c r="L10" s="28"/>
      <c r="M10" s="27"/>
      <c r="Q10" s="5" t="s">
        <v>359</v>
      </c>
    </row>
    <row r="11" spans="1:48" ht="30" customHeight="1" x14ac:dyDescent="0.3">
      <c r="A11" s="27"/>
      <c r="B11" s="27"/>
      <c r="C11" s="27"/>
      <c r="D11" s="27"/>
      <c r="E11" s="28"/>
      <c r="F11" s="28"/>
      <c r="G11" s="28"/>
      <c r="H11" s="28"/>
      <c r="I11" s="28"/>
      <c r="J11" s="28"/>
      <c r="K11" s="28"/>
      <c r="L11" s="28"/>
      <c r="M11" s="27"/>
      <c r="Q11" s="5" t="s">
        <v>359</v>
      </c>
    </row>
    <row r="12" spans="1:48" ht="30" customHeight="1" x14ac:dyDescent="0.3">
      <c r="A12" s="27"/>
      <c r="B12" s="27"/>
      <c r="C12" s="27"/>
      <c r="D12" s="27"/>
      <c r="E12" s="28"/>
      <c r="F12" s="28"/>
      <c r="G12" s="28"/>
      <c r="H12" s="28"/>
      <c r="I12" s="28"/>
      <c r="J12" s="28"/>
      <c r="K12" s="28"/>
      <c r="L12" s="28"/>
      <c r="M12" s="27"/>
      <c r="Q12" s="5" t="s">
        <v>359</v>
      </c>
    </row>
    <row r="13" spans="1:48" ht="30" customHeight="1" x14ac:dyDescent="0.3">
      <c r="A13" s="27"/>
      <c r="B13" s="27"/>
      <c r="C13" s="27"/>
      <c r="D13" s="27"/>
      <c r="E13" s="28"/>
      <c r="F13" s="28"/>
      <c r="G13" s="28"/>
      <c r="H13" s="28"/>
      <c r="I13" s="28"/>
      <c r="J13" s="28"/>
      <c r="K13" s="28"/>
      <c r="L13" s="28"/>
      <c r="M13" s="27"/>
      <c r="Q13" s="5" t="s">
        <v>359</v>
      </c>
    </row>
    <row r="14" spans="1:48" ht="30" customHeight="1" x14ac:dyDescent="0.3">
      <c r="A14" s="27"/>
      <c r="B14" s="27"/>
      <c r="C14" s="27"/>
      <c r="D14" s="27"/>
      <c r="E14" s="28"/>
      <c r="F14" s="28"/>
      <c r="G14" s="28"/>
      <c r="H14" s="28"/>
      <c r="I14" s="28"/>
      <c r="J14" s="28"/>
      <c r="K14" s="28"/>
      <c r="L14" s="28"/>
      <c r="M14" s="27"/>
      <c r="Q14" s="5" t="s">
        <v>359</v>
      </c>
    </row>
    <row r="15" spans="1:48" ht="30" customHeight="1" x14ac:dyDescent="0.3">
      <c r="A15" s="27"/>
      <c r="B15" s="27"/>
      <c r="C15" s="27"/>
      <c r="D15" s="27"/>
      <c r="E15" s="28"/>
      <c r="F15" s="28"/>
      <c r="G15" s="28"/>
      <c r="H15" s="28"/>
      <c r="I15" s="28"/>
      <c r="J15" s="28"/>
      <c r="K15" s="28"/>
      <c r="L15" s="28"/>
      <c r="M15" s="27"/>
      <c r="Q15" s="5" t="s">
        <v>359</v>
      </c>
    </row>
    <row r="16" spans="1:48" ht="30" customHeight="1" x14ac:dyDescent="0.3">
      <c r="A16" s="27"/>
      <c r="B16" s="27"/>
      <c r="C16" s="27"/>
      <c r="D16" s="27"/>
      <c r="E16" s="28"/>
      <c r="F16" s="28"/>
      <c r="G16" s="28"/>
      <c r="H16" s="28"/>
      <c r="I16" s="28"/>
      <c r="J16" s="28"/>
      <c r="K16" s="28"/>
      <c r="L16" s="28"/>
      <c r="M16" s="27"/>
      <c r="Q16" s="5" t="s">
        <v>359</v>
      </c>
    </row>
    <row r="17" spans="1:48" ht="30" customHeight="1" x14ac:dyDescent="0.3">
      <c r="A17" s="27"/>
      <c r="B17" s="27"/>
      <c r="C17" s="27"/>
      <c r="D17" s="27"/>
      <c r="E17" s="28"/>
      <c r="F17" s="28"/>
      <c r="G17" s="28"/>
      <c r="H17" s="28"/>
      <c r="I17" s="28"/>
      <c r="J17" s="28"/>
      <c r="K17" s="28"/>
      <c r="L17" s="28"/>
      <c r="M17" s="27"/>
      <c r="Q17" s="5" t="s">
        <v>359</v>
      </c>
    </row>
    <row r="18" spans="1:48" ht="30" customHeight="1" x14ac:dyDescent="0.3">
      <c r="A18" s="27"/>
      <c r="B18" s="27"/>
      <c r="C18" s="27"/>
      <c r="D18" s="27"/>
      <c r="E18" s="28"/>
      <c r="F18" s="28"/>
      <c r="G18" s="28"/>
      <c r="H18" s="28"/>
      <c r="I18" s="28"/>
      <c r="J18" s="28"/>
      <c r="K18" s="28"/>
      <c r="L18" s="28"/>
      <c r="M18" s="27"/>
      <c r="Q18" s="5" t="s">
        <v>359</v>
      </c>
    </row>
    <row r="19" spans="1:48" ht="30" customHeight="1" x14ac:dyDescent="0.3">
      <c r="A19" s="27"/>
      <c r="B19" s="27"/>
      <c r="C19" s="27"/>
      <c r="D19" s="27"/>
      <c r="E19" s="28"/>
      <c r="F19" s="28"/>
      <c r="G19" s="28"/>
      <c r="H19" s="28"/>
      <c r="I19" s="28"/>
      <c r="J19" s="28"/>
      <c r="K19" s="28"/>
      <c r="L19" s="28"/>
      <c r="M19" s="27"/>
      <c r="Q19" s="5" t="s">
        <v>359</v>
      </c>
    </row>
    <row r="20" spans="1:48" ht="30" customHeight="1" x14ac:dyDescent="0.3">
      <c r="A20" s="27"/>
      <c r="B20" s="27"/>
      <c r="C20" s="27"/>
      <c r="D20" s="27"/>
      <c r="E20" s="28"/>
      <c r="F20" s="28"/>
      <c r="G20" s="28"/>
      <c r="H20" s="28"/>
      <c r="I20" s="28"/>
      <c r="J20" s="28"/>
      <c r="K20" s="28"/>
      <c r="L20" s="28"/>
      <c r="M20" s="27"/>
      <c r="Q20" s="5" t="s">
        <v>359</v>
      </c>
    </row>
    <row r="21" spans="1:48" ht="30" customHeight="1" x14ac:dyDescent="0.3">
      <c r="A21" s="27"/>
      <c r="B21" s="27"/>
      <c r="C21" s="27"/>
      <c r="D21" s="27"/>
      <c r="E21" s="28"/>
      <c r="F21" s="28"/>
      <c r="G21" s="28"/>
      <c r="H21" s="28"/>
      <c r="I21" s="28"/>
      <c r="J21" s="28"/>
      <c r="K21" s="28"/>
      <c r="L21" s="28"/>
      <c r="M21" s="27"/>
      <c r="Q21" s="5" t="s">
        <v>359</v>
      </c>
    </row>
    <row r="22" spans="1:48" ht="30" customHeight="1" x14ac:dyDescent="0.3">
      <c r="A22" s="27"/>
      <c r="B22" s="27"/>
      <c r="C22" s="27"/>
      <c r="D22" s="27"/>
      <c r="E22" s="28"/>
      <c r="F22" s="28"/>
      <c r="G22" s="28"/>
      <c r="H22" s="28"/>
      <c r="I22" s="28"/>
      <c r="J22" s="28"/>
      <c r="K22" s="28"/>
      <c r="L22" s="28"/>
      <c r="M22" s="27"/>
      <c r="Q22" s="5" t="s">
        <v>359</v>
      </c>
    </row>
    <row r="23" spans="1:48" ht="30" customHeight="1" x14ac:dyDescent="0.3">
      <c r="A23" s="27"/>
      <c r="B23" s="27"/>
      <c r="C23" s="27"/>
      <c r="D23" s="27"/>
      <c r="E23" s="28"/>
      <c r="F23" s="28"/>
      <c r="G23" s="28"/>
      <c r="H23" s="28"/>
      <c r="I23" s="28"/>
      <c r="J23" s="28"/>
      <c r="K23" s="28"/>
      <c r="L23" s="28"/>
      <c r="M23" s="27"/>
      <c r="Q23" s="5" t="s">
        <v>359</v>
      </c>
    </row>
    <row r="24" spans="1:48" ht="30" customHeight="1" x14ac:dyDescent="0.3">
      <c r="A24" s="27"/>
      <c r="B24" s="27"/>
      <c r="C24" s="27"/>
      <c r="D24" s="27"/>
      <c r="E24" s="28"/>
      <c r="F24" s="28"/>
      <c r="G24" s="28"/>
      <c r="H24" s="28"/>
      <c r="I24" s="28"/>
      <c r="J24" s="28"/>
      <c r="K24" s="28"/>
      <c r="L24" s="28"/>
      <c r="M24" s="27"/>
      <c r="Q24" s="5" t="s">
        <v>359</v>
      </c>
    </row>
    <row r="25" spans="1:48" ht="30" customHeight="1" x14ac:dyDescent="0.3">
      <c r="A25" s="27"/>
      <c r="B25" s="27"/>
      <c r="C25" s="27"/>
      <c r="D25" s="27"/>
      <c r="E25" s="28"/>
      <c r="F25" s="28"/>
      <c r="G25" s="28"/>
      <c r="H25" s="28"/>
      <c r="I25" s="28"/>
      <c r="J25" s="28"/>
      <c r="K25" s="28"/>
      <c r="L25" s="28"/>
      <c r="M25" s="27"/>
      <c r="Q25" s="5" t="s">
        <v>359</v>
      </c>
    </row>
    <row r="26" spans="1:48" ht="30" customHeight="1" x14ac:dyDescent="0.3">
      <c r="A26" s="27"/>
      <c r="B26" s="27"/>
      <c r="C26" s="27"/>
      <c r="D26" s="27"/>
      <c r="E26" s="28"/>
      <c r="F26" s="28"/>
      <c r="G26" s="28"/>
      <c r="H26" s="28"/>
      <c r="I26" s="28"/>
      <c r="J26" s="28"/>
      <c r="K26" s="28"/>
      <c r="L26" s="28"/>
      <c r="M26" s="27"/>
      <c r="Q26" s="5" t="s">
        <v>359</v>
      </c>
    </row>
    <row r="27" spans="1:48" ht="30" customHeight="1" x14ac:dyDescent="0.3">
      <c r="A27" s="39" t="s">
        <v>349</v>
      </c>
      <c r="B27" s="27"/>
      <c r="C27" s="27"/>
      <c r="D27" s="27"/>
      <c r="E27" s="28"/>
      <c r="F27" s="28">
        <f>SUMIF(Q5:Q26,"010101",F5:F26)</f>
        <v>0</v>
      </c>
      <c r="G27" s="28"/>
      <c r="H27" s="28">
        <f>SUMIF(Q5:Q26,"010101",H5:H26)</f>
        <v>0</v>
      </c>
      <c r="I27" s="28"/>
      <c r="J27" s="28">
        <f>SUMIF(Q5:Q26,"010101",J5:J26)</f>
        <v>0</v>
      </c>
      <c r="K27" s="28"/>
      <c r="L27" s="28">
        <f>SUMIF(Q5:Q26,"010101",L5:L26)</f>
        <v>0</v>
      </c>
      <c r="M27" s="27"/>
      <c r="N27" t="s">
        <v>374</v>
      </c>
    </row>
    <row r="28" spans="1:48" ht="30" customHeight="1" x14ac:dyDescent="0.3">
      <c r="A28" s="39" t="s">
        <v>358</v>
      </c>
      <c r="B28" s="39" t="s">
        <v>0</v>
      </c>
      <c r="C28" s="27"/>
      <c r="D28" s="27"/>
      <c r="E28" s="28"/>
      <c r="F28" s="28"/>
      <c r="G28" s="28"/>
      <c r="H28" s="28"/>
      <c r="I28" s="28"/>
      <c r="J28" s="28"/>
      <c r="K28" s="28"/>
      <c r="L28" s="28"/>
      <c r="M28" s="27"/>
      <c r="N28" s="32"/>
      <c r="O28" s="32"/>
      <c r="P28" s="32"/>
      <c r="Q28" s="31" t="s">
        <v>357</v>
      </c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</row>
    <row r="29" spans="1:48" ht="30" customHeight="1" x14ac:dyDescent="0.3">
      <c r="A29" s="39" t="s">
        <v>488</v>
      </c>
      <c r="B29" s="39" t="s">
        <v>444</v>
      </c>
      <c r="C29" s="39" t="s">
        <v>186</v>
      </c>
      <c r="D29" s="27"/>
      <c r="E29" s="28"/>
      <c r="F29" s="28"/>
      <c r="G29" s="28"/>
      <c r="H29" s="28"/>
      <c r="I29" s="28"/>
      <c r="J29" s="28"/>
      <c r="K29" s="28"/>
      <c r="L29" s="28"/>
      <c r="M29" s="39" t="s">
        <v>487</v>
      </c>
      <c r="N29" s="31" t="s">
        <v>486</v>
      </c>
      <c r="O29" s="31" t="s">
        <v>0</v>
      </c>
      <c r="P29" s="31" t="s">
        <v>0</v>
      </c>
      <c r="Q29" s="31" t="s">
        <v>357</v>
      </c>
      <c r="R29" s="31" t="s">
        <v>376</v>
      </c>
      <c r="S29" s="31" t="s">
        <v>6</v>
      </c>
      <c r="T29" s="31" t="s">
        <v>6</v>
      </c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1" t="s">
        <v>0</v>
      </c>
      <c r="AS29" s="31" t="s">
        <v>0</v>
      </c>
      <c r="AT29" s="32"/>
      <c r="AU29" s="31" t="s">
        <v>485</v>
      </c>
      <c r="AV29" s="32">
        <v>12</v>
      </c>
    </row>
    <row r="30" spans="1:48" ht="30" customHeight="1" x14ac:dyDescent="0.3">
      <c r="A30" s="39" t="s">
        <v>481</v>
      </c>
      <c r="B30" s="39" t="s">
        <v>484</v>
      </c>
      <c r="C30" s="39" t="s">
        <v>310</v>
      </c>
      <c r="D30" s="27"/>
      <c r="E30" s="28"/>
      <c r="F30" s="28"/>
      <c r="G30" s="28"/>
      <c r="H30" s="28"/>
      <c r="I30" s="28"/>
      <c r="J30" s="28"/>
      <c r="K30" s="28"/>
      <c r="L30" s="28"/>
      <c r="M30" s="39" t="s">
        <v>0</v>
      </c>
      <c r="N30" s="31" t="s">
        <v>483</v>
      </c>
      <c r="O30" s="31" t="s">
        <v>0</v>
      </c>
      <c r="P30" s="31" t="s">
        <v>0</v>
      </c>
      <c r="Q30" s="31" t="s">
        <v>357</v>
      </c>
      <c r="R30" s="31" t="s">
        <v>6</v>
      </c>
      <c r="S30" s="31" t="s">
        <v>6</v>
      </c>
      <c r="T30" s="31" t="s">
        <v>376</v>
      </c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1" t="s">
        <v>0</v>
      </c>
      <c r="AS30" s="31" t="s">
        <v>0</v>
      </c>
      <c r="AT30" s="32"/>
      <c r="AU30" s="31" t="s">
        <v>482</v>
      </c>
      <c r="AV30" s="32">
        <v>13</v>
      </c>
    </row>
    <row r="31" spans="1:48" ht="30" customHeight="1" x14ac:dyDescent="0.3">
      <c r="A31" s="39" t="s">
        <v>481</v>
      </c>
      <c r="B31" s="39" t="s">
        <v>480</v>
      </c>
      <c r="C31" s="39" t="s">
        <v>310</v>
      </c>
      <c r="D31" s="27"/>
      <c r="E31" s="28"/>
      <c r="F31" s="28"/>
      <c r="G31" s="28"/>
      <c r="H31" s="28"/>
      <c r="I31" s="28"/>
      <c r="J31" s="28"/>
      <c r="K31" s="28"/>
      <c r="L31" s="28"/>
      <c r="M31" s="39" t="s">
        <v>0</v>
      </c>
      <c r="N31" s="31" t="s">
        <v>479</v>
      </c>
      <c r="O31" s="31" t="s">
        <v>0</v>
      </c>
      <c r="P31" s="31" t="s">
        <v>0</v>
      </c>
      <c r="Q31" s="31" t="s">
        <v>357</v>
      </c>
      <c r="R31" s="31" t="s">
        <v>6</v>
      </c>
      <c r="S31" s="31" t="s">
        <v>6</v>
      </c>
      <c r="T31" s="31" t="s">
        <v>376</v>
      </c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1" t="s">
        <v>0</v>
      </c>
      <c r="AS31" s="31" t="s">
        <v>0</v>
      </c>
      <c r="AT31" s="32"/>
      <c r="AU31" s="31" t="s">
        <v>478</v>
      </c>
      <c r="AV31" s="32">
        <v>14</v>
      </c>
    </row>
    <row r="32" spans="1:48" ht="30" customHeight="1" x14ac:dyDescent="0.3">
      <c r="A32" s="39" t="s">
        <v>459</v>
      </c>
      <c r="B32" s="39" t="s">
        <v>477</v>
      </c>
      <c r="C32" s="39" t="s">
        <v>310</v>
      </c>
      <c r="D32" s="27"/>
      <c r="E32" s="28"/>
      <c r="F32" s="28"/>
      <c r="G32" s="28"/>
      <c r="H32" s="28"/>
      <c r="I32" s="28"/>
      <c r="J32" s="28"/>
      <c r="K32" s="28"/>
      <c r="L32" s="28"/>
      <c r="M32" s="39" t="s">
        <v>0</v>
      </c>
      <c r="N32" s="31" t="s">
        <v>476</v>
      </c>
      <c r="O32" s="31" t="s">
        <v>0</v>
      </c>
      <c r="P32" s="31" t="s">
        <v>0</v>
      </c>
      <c r="Q32" s="31" t="s">
        <v>357</v>
      </c>
      <c r="R32" s="31" t="s">
        <v>6</v>
      </c>
      <c r="S32" s="31" t="s">
        <v>6</v>
      </c>
      <c r="T32" s="31" t="s">
        <v>376</v>
      </c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1" t="s">
        <v>0</v>
      </c>
      <c r="AS32" s="31" t="s">
        <v>0</v>
      </c>
      <c r="AT32" s="32"/>
      <c r="AU32" s="31" t="s">
        <v>475</v>
      </c>
      <c r="AV32" s="32">
        <v>15</v>
      </c>
    </row>
    <row r="33" spans="1:48" ht="30" customHeight="1" x14ac:dyDescent="0.3">
      <c r="A33" s="39" t="s">
        <v>459</v>
      </c>
      <c r="B33" s="39" t="s">
        <v>474</v>
      </c>
      <c r="C33" s="39" t="s">
        <v>310</v>
      </c>
      <c r="D33" s="27"/>
      <c r="E33" s="28"/>
      <c r="F33" s="28"/>
      <c r="G33" s="28"/>
      <c r="H33" s="28"/>
      <c r="I33" s="28"/>
      <c r="J33" s="28"/>
      <c r="K33" s="28"/>
      <c r="L33" s="28"/>
      <c r="M33" s="39" t="s">
        <v>0</v>
      </c>
      <c r="N33" s="31" t="s">
        <v>473</v>
      </c>
      <c r="O33" s="31" t="s">
        <v>0</v>
      </c>
      <c r="P33" s="31" t="s">
        <v>0</v>
      </c>
      <c r="Q33" s="31" t="s">
        <v>357</v>
      </c>
      <c r="R33" s="31" t="s">
        <v>6</v>
      </c>
      <c r="S33" s="31" t="s">
        <v>6</v>
      </c>
      <c r="T33" s="31" t="s">
        <v>376</v>
      </c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1" t="s">
        <v>0</v>
      </c>
      <c r="AS33" s="31" t="s">
        <v>0</v>
      </c>
      <c r="AT33" s="32"/>
      <c r="AU33" s="31" t="s">
        <v>472</v>
      </c>
      <c r="AV33" s="32">
        <v>16</v>
      </c>
    </row>
    <row r="34" spans="1:48" ht="30" customHeight="1" x14ac:dyDescent="0.3">
      <c r="A34" s="39" t="s">
        <v>459</v>
      </c>
      <c r="B34" s="39" t="s">
        <v>471</v>
      </c>
      <c r="C34" s="39" t="s">
        <v>310</v>
      </c>
      <c r="D34" s="27"/>
      <c r="E34" s="28"/>
      <c r="F34" s="28"/>
      <c r="G34" s="28"/>
      <c r="H34" s="28"/>
      <c r="I34" s="28"/>
      <c r="J34" s="28"/>
      <c r="K34" s="28"/>
      <c r="L34" s="28"/>
      <c r="M34" s="39" t="s">
        <v>0</v>
      </c>
      <c r="N34" s="31" t="s">
        <v>470</v>
      </c>
      <c r="O34" s="31" t="s">
        <v>0</v>
      </c>
      <c r="P34" s="31" t="s">
        <v>0</v>
      </c>
      <c r="Q34" s="31" t="s">
        <v>357</v>
      </c>
      <c r="R34" s="31" t="s">
        <v>6</v>
      </c>
      <c r="S34" s="31" t="s">
        <v>6</v>
      </c>
      <c r="T34" s="31" t="s">
        <v>376</v>
      </c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1" t="s">
        <v>0</v>
      </c>
      <c r="AS34" s="31" t="s">
        <v>0</v>
      </c>
      <c r="AT34" s="32"/>
      <c r="AU34" s="31" t="s">
        <v>469</v>
      </c>
      <c r="AV34" s="32">
        <v>17</v>
      </c>
    </row>
    <row r="35" spans="1:48" ht="30" customHeight="1" x14ac:dyDescent="0.3">
      <c r="A35" s="39" t="s">
        <v>459</v>
      </c>
      <c r="B35" s="39" t="s">
        <v>468</v>
      </c>
      <c r="C35" s="39" t="s">
        <v>310</v>
      </c>
      <c r="D35" s="27"/>
      <c r="E35" s="28"/>
      <c r="F35" s="28"/>
      <c r="G35" s="28"/>
      <c r="H35" s="28"/>
      <c r="I35" s="28"/>
      <c r="J35" s="28"/>
      <c r="K35" s="28"/>
      <c r="L35" s="28"/>
      <c r="M35" s="39" t="s">
        <v>0</v>
      </c>
      <c r="N35" s="31" t="s">
        <v>467</v>
      </c>
      <c r="O35" s="31" t="s">
        <v>0</v>
      </c>
      <c r="P35" s="31" t="s">
        <v>0</v>
      </c>
      <c r="Q35" s="31" t="s">
        <v>357</v>
      </c>
      <c r="R35" s="31" t="s">
        <v>6</v>
      </c>
      <c r="S35" s="31" t="s">
        <v>6</v>
      </c>
      <c r="T35" s="31" t="s">
        <v>376</v>
      </c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1" t="s">
        <v>0</v>
      </c>
      <c r="AS35" s="31" t="s">
        <v>0</v>
      </c>
      <c r="AT35" s="32"/>
      <c r="AU35" s="31" t="s">
        <v>466</v>
      </c>
      <c r="AV35" s="32">
        <v>18</v>
      </c>
    </row>
    <row r="36" spans="1:48" ht="30" customHeight="1" x14ac:dyDescent="0.3">
      <c r="A36" s="39" t="s">
        <v>459</v>
      </c>
      <c r="B36" s="39" t="s">
        <v>465</v>
      </c>
      <c r="C36" s="39" t="s">
        <v>310</v>
      </c>
      <c r="D36" s="27"/>
      <c r="E36" s="28"/>
      <c r="F36" s="28"/>
      <c r="G36" s="28"/>
      <c r="H36" s="28"/>
      <c r="I36" s="28"/>
      <c r="J36" s="28"/>
      <c r="K36" s="28"/>
      <c r="L36" s="28"/>
      <c r="M36" s="39" t="s">
        <v>0</v>
      </c>
      <c r="N36" s="31" t="s">
        <v>464</v>
      </c>
      <c r="O36" s="31" t="s">
        <v>0</v>
      </c>
      <c r="P36" s="31" t="s">
        <v>0</v>
      </c>
      <c r="Q36" s="31" t="s">
        <v>357</v>
      </c>
      <c r="R36" s="31" t="s">
        <v>6</v>
      </c>
      <c r="S36" s="31" t="s">
        <v>6</v>
      </c>
      <c r="T36" s="31" t="s">
        <v>376</v>
      </c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1" t="s">
        <v>0</v>
      </c>
      <c r="AS36" s="31" t="s">
        <v>0</v>
      </c>
      <c r="AT36" s="32"/>
      <c r="AU36" s="31" t="s">
        <v>463</v>
      </c>
      <c r="AV36" s="32">
        <v>19</v>
      </c>
    </row>
    <row r="37" spans="1:48" ht="30" customHeight="1" x14ac:dyDescent="0.3">
      <c r="A37" s="39" t="s">
        <v>459</v>
      </c>
      <c r="B37" s="39" t="s">
        <v>462</v>
      </c>
      <c r="C37" s="39" t="s">
        <v>310</v>
      </c>
      <c r="D37" s="27"/>
      <c r="E37" s="28"/>
      <c r="F37" s="28"/>
      <c r="G37" s="28"/>
      <c r="H37" s="28"/>
      <c r="I37" s="28"/>
      <c r="J37" s="28"/>
      <c r="K37" s="28"/>
      <c r="L37" s="28"/>
      <c r="M37" s="39" t="s">
        <v>0</v>
      </c>
      <c r="N37" s="31" t="s">
        <v>461</v>
      </c>
      <c r="O37" s="31" t="s">
        <v>0</v>
      </c>
      <c r="P37" s="31" t="s">
        <v>0</v>
      </c>
      <c r="Q37" s="31" t="s">
        <v>357</v>
      </c>
      <c r="R37" s="31" t="s">
        <v>6</v>
      </c>
      <c r="S37" s="31" t="s">
        <v>6</v>
      </c>
      <c r="T37" s="31" t="s">
        <v>376</v>
      </c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1" t="s">
        <v>0</v>
      </c>
      <c r="AS37" s="31" t="s">
        <v>0</v>
      </c>
      <c r="AT37" s="32"/>
      <c r="AU37" s="31" t="s">
        <v>460</v>
      </c>
      <c r="AV37" s="32">
        <v>20</v>
      </c>
    </row>
    <row r="38" spans="1:48" ht="30" customHeight="1" x14ac:dyDescent="0.3">
      <c r="A38" s="39" t="s">
        <v>459</v>
      </c>
      <c r="B38" s="39" t="s">
        <v>458</v>
      </c>
      <c r="C38" s="39" t="s">
        <v>310</v>
      </c>
      <c r="D38" s="27"/>
      <c r="E38" s="28"/>
      <c r="F38" s="28"/>
      <c r="G38" s="28"/>
      <c r="H38" s="28"/>
      <c r="I38" s="28"/>
      <c r="J38" s="28"/>
      <c r="K38" s="28"/>
      <c r="L38" s="28"/>
      <c r="M38" s="39" t="s">
        <v>0</v>
      </c>
      <c r="N38" s="31" t="s">
        <v>457</v>
      </c>
      <c r="O38" s="31" t="s">
        <v>0</v>
      </c>
      <c r="P38" s="31" t="s">
        <v>0</v>
      </c>
      <c r="Q38" s="31" t="s">
        <v>357</v>
      </c>
      <c r="R38" s="31" t="s">
        <v>6</v>
      </c>
      <c r="S38" s="31" t="s">
        <v>6</v>
      </c>
      <c r="T38" s="31" t="s">
        <v>376</v>
      </c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1" t="s">
        <v>0</v>
      </c>
      <c r="AS38" s="31" t="s">
        <v>0</v>
      </c>
      <c r="AT38" s="32"/>
      <c r="AU38" s="31" t="s">
        <v>456</v>
      </c>
      <c r="AV38" s="32">
        <v>21</v>
      </c>
    </row>
    <row r="39" spans="1:48" ht="30" customHeight="1" x14ac:dyDescent="0.3">
      <c r="A39" s="39" t="s">
        <v>455</v>
      </c>
      <c r="B39" s="39" t="s">
        <v>454</v>
      </c>
      <c r="C39" s="39" t="s">
        <v>310</v>
      </c>
      <c r="D39" s="27"/>
      <c r="E39" s="28"/>
      <c r="F39" s="28"/>
      <c r="G39" s="28"/>
      <c r="H39" s="28"/>
      <c r="I39" s="28"/>
      <c r="J39" s="28"/>
      <c r="K39" s="28"/>
      <c r="L39" s="28"/>
      <c r="M39" s="39" t="s">
        <v>453</v>
      </c>
      <c r="N39" s="31" t="s">
        <v>452</v>
      </c>
      <c r="O39" s="31" t="s">
        <v>0</v>
      </c>
      <c r="P39" s="31" t="s">
        <v>0</v>
      </c>
      <c r="Q39" s="31" t="s">
        <v>357</v>
      </c>
      <c r="R39" s="31" t="s">
        <v>376</v>
      </c>
      <c r="S39" s="31" t="s">
        <v>6</v>
      </c>
      <c r="T39" s="31" t="s">
        <v>6</v>
      </c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1" t="s">
        <v>0</v>
      </c>
      <c r="AS39" s="31" t="s">
        <v>0</v>
      </c>
      <c r="AT39" s="32"/>
      <c r="AU39" s="31" t="s">
        <v>451</v>
      </c>
      <c r="AV39" s="32">
        <v>22</v>
      </c>
    </row>
    <row r="40" spans="1:48" ht="30" customHeight="1" x14ac:dyDescent="0.3">
      <c r="A40" s="39" t="s">
        <v>450</v>
      </c>
      <c r="B40" s="39" t="s">
        <v>449</v>
      </c>
      <c r="C40" s="39" t="s">
        <v>152</v>
      </c>
      <c r="D40" s="27"/>
      <c r="E40" s="28"/>
      <c r="F40" s="28"/>
      <c r="G40" s="28"/>
      <c r="H40" s="28"/>
      <c r="I40" s="28"/>
      <c r="J40" s="28"/>
      <c r="K40" s="28"/>
      <c r="L40" s="28"/>
      <c r="M40" s="39" t="s">
        <v>448</v>
      </c>
      <c r="N40" s="31" t="s">
        <v>447</v>
      </c>
      <c r="O40" s="31" t="s">
        <v>0</v>
      </c>
      <c r="P40" s="31" t="s">
        <v>0</v>
      </c>
      <c r="Q40" s="31" t="s">
        <v>357</v>
      </c>
      <c r="R40" s="31" t="s">
        <v>376</v>
      </c>
      <c r="S40" s="31" t="s">
        <v>6</v>
      </c>
      <c r="T40" s="31" t="s">
        <v>6</v>
      </c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1" t="s">
        <v>0</v>
      </c>
      <c r="AS40" s="31" t="s">
        <v>0</v>
      </c>
      <c r="AT40" s="32"/>
      <c r="AU40" s="31" t="s">
        <v>446</v>
      </c>
      <c r="AV40" s="32">
        <v>23</v>
      </c>
    </row>
    <row r="41" spans="1:48" ht="30" customHeight="1" x14ac:dyDescent="0.3">
      <c r="A41" s="39" t="s">
        <v>445</v>
      </c>
      <c r="B41" s="39" t="s">
        <v>444</v>
      </c>
      <c r="C41" s="39" t="s">
        <v>207</v>
      </c>
      <c r="D41" s="27"/>
      <c r="E41" s="28"/>
      <c r="F41" s="28"/>
      <c r="G41" s="28"/>
      <c r="H41" s="28"/>
      <c r="I41" s="28"/>
      <c r="J41" s="28"/>
      <c r="K41" s="28"/>
      <c r="L41" s="28"/>
      <c r="M41" s="39" t="s">
        <v>443</v>
      </c>
      <c r="N41" s="31" t="s">
        <v>442</v>
      </c>
      <c r="O41" s="31" t="s">
        <v>0</v>
      </c>
      <c r="P41" s="31" t="s">
        <v>0</v>
      </c>
      <c r="Q41" s="31" t="s">
        <v>357</v>
      </c>
      <c r="R41" s="31" t="s">
        <v>376</v>
      </c>
      <c r="S41" s="31" t="s">
        <v>6</v>
      </c>
      <c r="T41" s="31" t="s">
        <v>6</v>
      </c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1" t="s">
        <v>0</v>
      </c>
      <c r="AS41" s="31" t="s">
        <v>0</v>
      </c>
      <c r="AT41" s="32"/>
      <c r="AU41" s="31" t="s">
        <v>441</v>
      </c>
      <c r="AV41" s="32">
        <v>24</v>
      </c>
    </row>
    <row r="42" spans="1:48" ht="30" customHeight="1" x14ac:dyDescent="0.3">
      <c r="A42" s="39" t="s">
        <v>404</v>
      </c>
      <c r="B42" s="39" t="s">
        <v>440</v>
      </c>
      <c r="C42" s="39" t="s">
        <v>207</v>
      </c>
      <c r="D42" s="27"/>
      <c r="E42" s="28"/>
      <c r="F42" s="28"/>
      <c r="G42" s="28"/>
      <c r="H42" s="28"/>
      <c r="I42" s="28"/>
      <c r="J42" s="28"/>
      <c r="K42" s="28"/>
      <c r="L42" s="28"/>
      <c r="M42" s="39" t="s">
        <v>439</v>
      </c>
      <c r="N42" s="31" t="s">
        <v>438</v>
      </c>
      <c r="O42" s="31" t="s">
        <v>0</v>
      </c>
      <c r="P42" s="31" t="s">
        <v>0</v>
      </c>
      <c r="Q42" s="31" t="s">
        <v>357</v>
      </c>
      <c r="R42" s="31" t="s">
        <v>376</v>
      </c>
      <c r="S42" s="31" t="s">
        <v>6</v>
      </c>
      <c r="T42" s="31" t="s">
        <v>6</v>
      </c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1" t="s">
        <v>0</v>
      </c>
      <c r="AS42" s="31" t="s">
        <v>0</v>
      </c>
      <c r="AT42" s="32"/>
      <c r="AU42" s="31" t="s">
        <v>437</v>
      </c>
      <c r="AV42" s="32">
        <v>25</v>
      </c>
    </row>
    <row r="43" spans="1:48" ht="30" customHeight="1" x14ac:dyDescent="0.3">
      <c r="A43" s="39" t="s">
        <v>436</v>
      </c>
      <c r="B43" s="39" t="s">
        <v>435</v>
      </c>
      <c r="C43" s="39" t="s">
        <v>186</v>
      </c>
      <c r="D43" s="27"/>
      <c r="E43" s="28"/>
      <c r="F43" s="28"/>
      <c r="G43" s="28"/>
      <c r="H43" s="28"/>
      <c r="I43" s="28"/>
      <c r="J43" s="28"/>
      <c r="K43" s="28"/>
      <c r="L43" s="28"/>
      <c r="M43" s="39" t="s">
        <v>434</v>
      </c>
      <c r="N43" s="31" t="s">
        <v>433</v>
      </c>
      <c r="O43" s="31" t="s">
        <v>0</v>
      </c>
      <c r="P43" s="31" t="s">
        <v>0</v>
      </c>
      <c r="Q43" s="31" t="s">
        <v>357</v>
      </c>
      <c r="R43" s="31" t="s">
        <v>376</v>
      </c>
      <c r="S43" s="31" t="s">
        <v>6</v>
      </c>
      <c r="T43" s="31" t="s">
        <v>6</v>
      </c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1" t="s">
        <v>0</v>
      </c>
      <c r="AS43" s="31" t="s">
        <v>0</v>
      </c>
      <c r="AT43" s="32"/>
      <c r="AU43" s="31" t="s">
        <v>432</v>
      </c>
      <c r="AV43" s="32">
        <v>26</v>
      </c>
    </row>
    <row r="44" spans="1:48" ht="30" customHeight="1" x14ac:dyDescent="0.3">
      <c r="A44" s="39" t="s">
        <v>431</v>
      </c>
      <c r="B44" s="39" t="s">
        <v>430</v>
      </c>
      <c r="C44" s="39" t="s">
        <v>186</v>
      </c>
      <c r="D44" s="27"/>
      <c r="E44" s="28"/>
      <c r="F44" s="28"/>
      <c r="G44" s="28"/>
      <c r="H44" s="28"/>
      <c r="I44" s="28"/>
      <c r="J44" s="28"/>
      <c r="K44" s="28"/>
      <c r="L44" s="28"/>
      <c r="M44" s="39" t="s">
        <v>429</v>
      </c>
      <c r="N44" s="31" t="s">
        <v>428</v>
      </c>
      <c r="O44" s="31" t="s">
        <v>0</v>
      </c>
      <c r="P44" s="31" t="s">
        <v>0</v>
      </c>
      <c r="Q44" s="31" t="s">
        <v>357</v>
      </c>
      <c r="R44" s="31" t="s">
        <v>376</v>
      </c>
      <c r="S44" s="31" t="s">
        <v>6</v>
      </c>
      <c r="T44" s="31" t="s">
        <v>6</v>
      </c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  <c r="AO44" s="32"/>
      <c r="AP44" s="32"/>
      <c r="AQ44" s="32"/>
      <c r="AR44" s="31" t="s">
        <v>0</v>
      </c>
      <c r="AS44" s="31" t="s">
        <v>0</v>
      </c>
      <c r="AT44" s="32"/>
      <c r="AU44" s="31" t="s">
        <v>427</v>
      </c>
      <c r="AV44" s="32">
        <v>27</v>
      </c>
    </row>
    <row r="45" spans="1:48" ht="30" customHeight="1" x14ac:dyDescent="0.3">
      <c r="A45" s="27"/>
      <c r="B45" s="27"/>
      <c r="C45" s="27"/>
      <c r="D45" s="27"/>
      <c r="E45" s="28"/>
      <c r="F45" s="28"/>
      <c r="G45" s="28"/>
      <c r="H45" s="28"/>
      <c r="I45" s="28"/>
      <c r="J45" s="28"/>
      <c r="K45" s="28"/>
      <c r="L45" s="28"/>
      <c r="M45" s="27"/>
      <c r="Q45" s="5" t="s">
        <v>357</v>
      </c>
    </row>
    <row r="46" spans="1:48" ht="30" customHeight="1" x14ac:dyDescent="0.3">
      <c r="A46" s="27"/>
      <c r="B46" s="27"/>
      <c r="C46" s="27"/>
      <c r="D46" s="27"/>
      <c r="E46" s="28"/>
      <c r="F46" s="28"/>
      <c r="G46" s="28"/>
      <c r="H46" s="28"/>
      <c r="I46" s="28"/>
      <c r="J46" s="28"/>
      <c r="K46" s="28"/>
      <c r="L46" s="28"/>
      <c r="M46" s="27"/>
      <c r="Q46" s="5" t="s">
        <v>357</v>
      </c>
    </row>
    <row r="47" spans="1:48" ht="30" customHeight="1" x14ac:dyDescent="0.3">
      <c r="A47" s="27"/>
      <c r="B47" s="27"/>
      <c r="C47" s="27"/>
      <c r="D47" s="27"/>
      <c r="E47" s="28"/>
      <c r="F47" s="28"/>
      <c r="G47" s="28"/>
      <c r="H47" s="28"/>
      <c r="I47" s="28"/>
      <c r="J47" s="28"/>
      <c r="K47" s="28"/>
      <c r="L47" s="28"/>
      <c r="M47" s="27"/>
      <c r="Q47" s="5" t="s">
        <v>357</v>
      </c>
    </row>
    <row r="48" spans="1:48" ht="30" customHeight="1" x14ac:dyDescent="0.3">
      <c r="A48" s="27"/>
      <c r="B48" s="27"/>
      <c r="C48" s="27"/>
      <c r="D48" s="27"/>
      <c r="E48" s="28"/>
      <c r="F48" s="28"/>
      <c r="G48" s="28"/>
      <c r="H48" s="28"/>
      <c r="I48" s="28"/>
      <c r="J48" s="28"/>
      <c r="K48" s="28"/>
      <c r="L48" s="28"/>
      <c r="M48" s="27"/>
      <c r="Q48" s="5" t="s">
        <v>357</v>
      </c>
    </row>
    <row r="49" spans="1:48" ht="30" customHeight="1" x14ac:dyDescent="0.3">
      <c r="A49" s="27"/>
      <c r="B49" s="27"/>
      <c r="C49" s="27"/>
      <c r="D49" s="27"/>
      <c r="E49" s="28"/>
      <c r="F49" s="28"/>
      <c r="G49" s="28"/>
      <c r="H49" s="28"/>
      <c r="I49" s="28"/>
      <c r="J49" s="28"/>
      <c r="K49" s="28"/>
      <c r="L49" s="28"/>
      <c r="M49" s="27"/>
      <c r="Q49" s="5" t="s">
        <v>357</v>
      </c>
    </row>
    <row r="50" spans="1:48" ht="30" customHeight="1" x14ac:dyDescent="0.3">
      <c r="A50" s="27"/>
      <c r="B50" s="27"/>
      <c r="C50" s="27"/>
      <c r="D50" s="27"/>
      <c r="E50" s="28"/>
      <c r="F50" s="28"/>
      <c r="G50" s="28"/>
      <c r="H50" s="28"/>
      <c r="I50" s="28"/>
      <c r="J50" s="28"/>
      <c r="K50" s="28"/>
      <c r="L50" s="28"/>
      <c r="M50" s="27"/>
      <c r="Q50" s="5" t="s">
        <v>357</v>
      </c>
    </row>
    <row r="51" spans="1:48" ht="30" customHeight="1" x14ac:dyDescent="0.3">
      <c r="A51" s="39" t="s">
        <v>349</v>
      </c>
      <c r="B51" s="27"/>
      <c r="C51" s="27"/>
      <c r="D51" s="27"/>
      <c r="E51" s="28"/>
      <c r="F51" s="28"/>
      <c r="G51" s="28"/>
      <c r="H51" s="28"/>
      <c r="I51" s="28"/>
      <c r="J51" s="28"/>
      <c r="K51" s="28"/>
      <c r="L51" s="28"/>
      <c r="M51" s="27"/>
      <c r="N51" t="s">
        <v>374</v>
      </c>
    </row>
    <row r="52" spans="1:48" ht="30" customHeight="1" x14ac:dyDescent="0.3">
      <c r="A52" s="39" t="s">
        <v>356</v>
      </c>
      <c r="B52" s="39" t="s">
        <v>0</v>
      </c>
      <c r="C52" s="27"/>
      <c r="D52" s="27"/>
      <c r="E52" s="28"/>
      <c r="F52" s="28"/>
      <c r="G52" s="28"/>
      <c r="H52" s="28"/>
      <c r="I52" s="28"/>
      <c r="J52" s="28"/>
      <c r="K52" s="28"/>
      <c r="L52" s="28"/>
      <c r="M52" s="27"/>
      <c r="N52" s="32"/>
      <c r="O52" s="32"/>
      <c r="P52" s="32"/>
      <c r="Q52" s="31" t="s">
        <v>355</v>
      </c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</row>
    <row r="53" spans="1:48" ht="30" customHeight="1" x14ac:dyDescent="0.3">
      <c r="A53" s="39" t="s">
        <v>426</v>
      </c>
      <c r="B53" s="39" t="s">
        <v>425</v>
      </c>
      <c r="C53" s="39" t="s">
        <v>186</v>
      </c>
      <c r="D53" s="27"/>
      <c r="E53" s="28"/>
      <c r="F53" s="28"/>
      <c r="G53" s="28"/>
      <c r="H53" s="28"/>
      <c r="I53" s="28"/>
      <c r="J53" s="28"/>
      <c r="K53" s="28"/>
      <c r="L53" s="28"/>
      <c r="M53" s="39" t="s">
        <v>424</v>
      </c>
      <c r="N53" s="31" t="s">
        <v>423</v>
      </c>
      <c r="O53" s="31" t="s">
        <v>0</v>
      </c>
      <c r="P53" s="31" t="s">
        <v>0</v>
      </c>
      <c r="Q53" s="31" t="s">
        <v>355</v>
      </c>
      <c r="R53" s="31" t="s">
        <v>376</v>
      </c>
      <c r="S53" s="31" t="s">
        <v>6</v>
      </c>
      <c r="T53" s="31" t="s">
        <v>6</v>
      </c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1" t="s">
        <v>0</v>
      </c>
      <c r="AS53" s="31" t="s">
        <v>0</v>
      </c>
      <c r="AT53" s="32"/>
      <c r="AU53" s="31" t="s">
        <v>422</v>
      </c>
      <c r="AV53" s="32">
        <v>31</v>
      </c>
    </row>
    <row r="54" spans="1:48" ht="30" customHeight="1" x14ac:dyDescent="0.3">
      <c r="A54" s="39" t="s">
        <v>412</v>
      </c>
      <c r="B54" s="39" t="s">
        <v>421</v>
      </c>
      <c r="C54" s="39" t="s">
        <v>310</v>
      </c>
      <c r="D54" s="27"/>
      <c r="E54" s="28"/>
      <c r="F54" s="28"/>
      <c r="G54" s="28"/>
      <c r="H54" s="28"/>
      <c r="I54" s="28"/>
      <c r="J54" s="28"/>
      <c r="K54" s="28"/>
      <c r="L54" s="28"/>
      <c r="M54" s="39" t="s">
        <v>0</v>
      </c>
      <c r="N54" s="31" t="s">
        <v>420</v>
      </c>
      <c r="O54" s="31" t="s">
        <v>0</v>
      </c>
      <c r="P54" s="31" t="s">
        <v>0</v>
      </c>
      <c r="Q54" s="31" t="s">
        <v>355</v>
      </c>
      <c r="R54" s="31" t="s">
        <v>6</v>
      </c>
      <c r="S54" s="31" t="s">
        <v>6</v>
      </c>
      <c r="T54" s="31" t="s">
        <v>376</v>
      </c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1" t="s">
        <v>0</v>
      </c>
      <c r="AS54" s="31" t="s">
        <v>0</v>
      </c>
      <c r="AT54" s="32"/>
      <c r="AU54" s="31" t="s">
        <v>419</v>
      </c>
      <c r="AV54" s="32">
        <v>32</v>
      </c>
    </row>
    <row r="55" spans="1:48" ht="30" customHeight="1" x14ac:dyDescent="0.3">
      <c r="A55" s="39" t="s">
        <v>412</v>
      </c>
      <c r="B55" s="39" t="s">
        <v>418</v>
      </c>
      <c r="C55" s="39" t="s">
        <v>310</v>
      </c>
      <c r="D55" s="27"/>
      <c r="E55" s="28"/>
      <c r="F55" s="28"/>
      <c r="G55" s="28"/>
      <c r="H55" s="28"/>
      <c r="I55" s="28"/>
      <c r="J55" s="28"/>
      <c r="K55" s="28"/>
      <c r="L55" s="28"/>
      <c r="M55" s="39" t="s">
        <v>0</v>
      </c>
      <c r="N55" s="31" t="s">
        <v>417</v>
      </c>
      <c r="O55" s="31" t="s">
        <v>0</v>
      </c>
      <c r="P55" s="31" t="s">
        <v>0</v>
      </c>
      <c r="Q55" s="31" t="s">
        <v>355</v>
      </c>
      <c r="R55" s="31" t="s">
        <v>6</v>
      </c>
      <c r="S55" s="31" t="s">
        <v>6</v>
      </c>
      <c r="T55" s="31" t="s">
        <v>376</v>
      </c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1" t="s">
        <v>0</v>
      </c>
      <c r="AS55" s="31" t="s">
        <v>0</v>
      </c>
      <c r="AT55" s="32"/>
      <c r="AU55" s="31" t="s">
        <v>416</v>
      </c>
      <c r="AV55" s="32">
        <v>33</v>
      </c>
    </row>
    <row r="56" spans="1:48" ht="30" customHeight="1" x14ac:dyDescent="0.3">
      <c r="A56" s="39" t="s">
        <v>412</v>
      </c>
      <c r="B56" s="39" t="s">
        <v>415</v>
      </c>
      <c r="C56" s="39" t="s">
        <v>310</v>
      </c>
      <c r="D56" s="27"/>
      <c r="E56" s="28"/>
      <c r="F56" s="28"/>
      <c r="G56" s="28"/>
      <c r="H56" s="28"/>
      <c r="I56" s="28"/>
      <c r="J56" s="28"/>
      <c r="K56" s="28"/>
      <c r="L56" s="28"/>
      <c r="M56" s="39" t="s">
        <v>0</v>
      </c>
      <c r="N56" s="31" t="s">
        <v>414</v>
      </c>
      <c r="O56" s="31" t="s">
        <v>0</v>
      </c>
      <c r="P56" s="31" t="s">
        <v>0</v>
      </c>
      <c r="Q56" s="31" t="s">
        <v>355</v>
      </c>
      <c r="R56" s="31" t="s">
        <v>6</v>
      </c>
      <c r="S56" s="31" t="s">
        <v>6</v>
      </c>
      <c r="T56" s="31" t="s">
        <v>376</v>
      </c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1" t="s">
        <v>0</v>
      </c>
      <c r="AS56" s="31" t="s">
        <v>0</v>
      </c>
      <c r="AT56" s="32"/>
      <c r="AU56" s="31" t="s">
        <v>413</v>
      </c>
      <c r="AV56" s="32">
        <v>34</v>
      </c>
    </row>
    <row r="57" spans="1:48" ht="30" customHeight="1" x14ac:dyDescent="0.3">
      <c r="A57" s="39" t="s">
        <v>412</v>
      </c>
      <c r="B57" s="39" t="s">
        <v>411</v>
      </c>
      <c r="C57" s="39" t="s">
        <v>310</v>
      </c>
      <c r="D57" s="27"/>
      <c r="E57" s="28"/>
      <c r="F57" s="28"/>
      <c r="G57" s="28"/>
      <c r="H57" s="28"/>
      <c r="I57" s="28"/>
      <c r="J57" s="28"/>
      <c r="K57" s="28"/>
      <c r="L57" s="28"/>
      <c r="M57" s="39" t="s">
        <v>0</v>
      </c>
      <c r="N57" s="31" t="s">
        <v>410</v>
      </c>
      <c r="O57" s="31" t="s">
        <v>0</v>
      </c>
      <c r="P57" s="31" t="s">
        <v>0</v>
      </c>
      <c r="Q57" s="31" t="s">
        <v>355</v>
      </c>
      <c r="R57" s="31" t="s">
        <v>6</v>
      </c>
      <c r="S57" s="31" t="s">
        <v>6</v>
      </c>
      <c r="T57" s="31" t="s">
        <v>376</v>
      </c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1" t="s">
        <v>0</v>
      </c>
      <c r="AS57" s="31" t="s">
        <v>0</v>
      </c>
      <c r="AT57" s="32"/>
      <c r="AU57" s="31" t="s">
        <v>409</v>
      </c>
      <c r="AV57" s="32">
        <v>35</v>
      </c>
    </row>
    <row r="58" spans="1:48" ht="30" customHeight="1" x14ac:dyDescent="0.3">
      <c r="A58" s="39" t="s">
        <v>404</v>
      </c>
      <c r="B58" s="39" t="s">
        <v>408</v>
      </c>
      <c r="C58" s="39" t="s">
        <v>207</v>
      </c>
      <c r="D58" s="27"/>
      <c r="E58" s="28"/>
      <c r="F58" s="28"/>
      <c r="G58" s="28"/>
      <c r="H58" s="28"/>
      <c r="I58" s="28"/>
      <c r="J58" s="28"/>
      <c r="K58" s="28"/>
      <c r="L58" s="28"/>
      <c r="M58" s="39" t="s">
        <v>407</v>
      </c>
      <c r="N58" s="31" t="s">
        <v>406</v>
      </c>
      <c r="O58" s="31" t="s">
        <v>0</v>
      </c>
      <c r="P58" s="31" t="s">
        <v>0</v>
      </c>
      <c r="Q58" s="31" t="s">
        <v>355</v>
      </c>
      <c r="R58" s="31" t="s">
        <v>376</v>
      </c>
      <c r="S58" s="31" t="s">
        <v>6</v>
      </c>
      <c r="T58" s="31" t="s">
        <v>6</v>
      </c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1" t="s">
        <v>0</v>
      </c>
      <c r="AS58" s="31" t="s">
        <v>0</v>
      </c>
      <c r="AT58" s="32"/>
      <c r="AU58" s="31" t="s">
        <v>405</v>
      </c>
      <c r="AV58" s="32">
        <v>36</v>
      </c>
    </row>
    <row r="59" spans="1:48" ht="30" customHeight="1" x14ac:dyDescent="0.3">
      <c r="A59" s="39" t="s">
        <v>404</v>
      </c>
      <c r="B59" s="39" t="s">
        <v>403</v>
      </c>
      <c r="C59" s="39" t="s">
        <v>207</v>
      </c>
      <c r="D59" s="27"/>
      <c r="E59" s="28"/>
      <c r="F59" s="28"/>
      <c r="G59" s="28"/>
      <c r="H59" s="28"/>
      <c r="I59" s="28"/>
      <c r="J59" s="28"/>
      <c r="K59" s="28"/>
      <c r="L59" s="28"/>
      <c r="M59" s="39" t="s">
        <v>402</v>
      </c>
      <c r="N59" s="31" t="s">
        <v>401</v>
      </c>
      <c r="O59" s="31" t="s">
        <v>0</v>
      </c>
      <c r="P59" s="31" t="s">
        <v>0</v>
      </c>
      <c r="Q59" s="31" t="s">
        <v>355</v>
      </c>
      <c r="R59" s="31" t="s">
        <v>376</v>
      </c>
      <c r="S59" s="31" t="s">
        <v>6</v>
      </c>
      <c r="T59" s="31" t="s">
        <v>6</v>
      </c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1" t="s">
        <v>0</v>
      </c>
      <c r="AS59" s="31" t="s">
        <v>0</v>
      </c>
      <c r="AT59" s="32"/>
      <c r="AU59" s="31" t="s">
        <v>400</v>
      </c>
      <c r="AV59" s="32">
        <v>37</v>
      </c>
    </row>
    <row r="60" spans="1:48" ht="30" customHeight="1" x14ac:dyDescent="0.3">
      <c r="A60" s="27"/>
      <c r="B60" s="27"/>
      <c r="C60" s="27"/>
      <c r="D60" s="27"/>
      <c r="E60" s="28"/>
      <c r="F60" s="28"/>
      <c r="G60" s="28"/>
      <c r="H60" s="28"/>
      <c r="I60" s="28"/>
      <c r="J60" s="28"/>
      <c r="K60" s="28"/>
      <c r="L60" s="28"/>
      <c r="M60" s="27"/>
      <c r="Q60" s="5" t="s">
        <v>355</v>
      </c>
    </row>
    <row r="61" spans="1:48" ht="30" customHeight="1" x14ac:dyDescent="0.3">
      <c r="A61" s="27"/>
      <c r="B61" s="27"/>
      <c r="C61" s="27"/>
      <c r="D61" s="27"/>
      <c r="E61" s="28"/>
      <c r="F61" s="28"/>
      <c r="G61" s="28"/>
      <c r="H61" s="28"/>
      <c r="I61" s="28"/>
      <c r="J61" s="28"/>
      <c r="K61" s="28"/>
      <c r="L61" s="28"/>
      <c r="M61" s="27"/>
      <c r="Q61" s="5" t="s">
        <v>355</v>
      </c>
    </row>
    <row r="62" spans="1:48" ht="30" customHeight="1" x14ac:dyDescent="0.3">
      <c r="A62" s="27"/>
      <c r="B62" s="27"/>
      <c r="C62" s="27"/>
      <c r="D62" s="27"/>
      <c r="E62" s="28"/>
      <c r="F62" s="28"/>
      <c r="G62" s="28"/>
      <c r="H62" s="28"/>
      <c r="I62" s="28"/>
      <c r="J62" s="28"/>
      <c r="K62" s="28"/>
      <c r="L62" s="28"/>
      <c r="M62" s="27"/>
      <c r="Q62" s="5" t="s">
        <v>355</v>
      </c>
    </row>
    <row r="63" spans="1:48" ht="30" customHeight="1" x14ac:dyDescent="0.3">
      <c r="A63" s="27"/>
      <c r="B63" s="27"/>
      <c r="C63" s="27"/>
      <c r="D63" s="27"/>
      <c r="E63" s="28"/>
      <c r="F63" s="28"/>
      <c r="G63" s="28"/>
      <c r="H63" s="28"/>
      <c r="I63" s="28"/>
      <c r="J63" s="28"/>
      <c r="K63" s="28"/>
      <c r="L63" s="28"/>
      <c r="M63" s="27"/>
      <c r="Q63" s="5" t="s">
        <v>355</v>
      </c>
    </row>
    <row r="64" spans="1:48" ht="30" customHeight="1" x14ac:dyDescent="0.3">
      <c r="A64" s="27"/>
      <c r="B64" s="27"/>
      <c r="C64" s="27"/>
      <c r="D64" s="27"/>
      <c r="E64" s="28"/>
      <c r="F64" s="28"/>
      <c r="G64" s="28"/>
      <c r="H64" s="28"/>
      <c r="I64" s="28"/>
      <c r="J64" s="28"/>
      <c r="K64" s="28"/>
      <c r="L64" s="28"/>
      <c r="M64" s="27"/>
      <c r="Q64" s="5" t="s">
        <v>355</v>
      </c>
    </row>
    <row r="65" spans="1:48" ht="30" customHeight="1" x14ac:dyDescent="0.3">
      <c r="A65" s="27"/>
      <c r="B65" s="27"/>
      <c r="C65" s="27"/>
      <c r="D65" s="27"/>
      <c r="E65" s="28"/>
      <c r="F65" s="28"/>
      <c r="G65" s="28"/>
      <c r="H65" s="28"/>
      <c r="I65" s="28"/>
      <c r="J65" s="28"/>
      <c r="K65" s="28"/>
      <c r="L65" s="28"/>
      <c r="M65" s="27"/>
      <c r="Q65" s="5" t="s">
        <v>355</v>
      </c>
    </row>
    <row r="66" spans="1:48" ht="30" customHeight="1" x14ac:dyDescent="0.3">
      <c r="A66" s="27"/>
      <c r="B66" s="27"/>
      <c r="C66" s="27"/>
      <c r="D66" s="27"/>
      <c r="E66" s="28"/>
      <c r="F66" s="28"/>
      <c r="G66" s="28"/>
      <c r="H66" s="28"/>
      <c r="I66" s="28"/>
      <c r="J66" s="28"/>
      <c r="K66" s="28"/>
      <c r="L66" s="28"/>
      <c r="M66" s="27"/>
      <c r="Q66" s="5" t="s">
        <v>355</v>
      </c>
    </row>
    <row r="67" spans="1:48" ht="30" customHeight="1" x14ac:dyDescent="0.3">
      <c r="A67" s="27"/>
      <c r="B67" s="27"/>
      <c r="C67" s="27"/>
      <c r="D67" s="27"/>
      <c r="E67" s="28"/>
      <c r="F67" s="28"/>
      <c r="G67" s="28"/>
      <c r="H67" s="28"/>
      <c r="I67" s="28"/>
      <c r="J67" s="28"/>
      <c r="K67" s="28"/>
      <c r="L67" s="28"/>
      <c r="M67" s="27"/>
      <c r="Q67" s="5" t="s">
        <v>355</v>
      </c>
    </row>
    <row r="68" spans="1:48" ht="30" customHeight="1" x14ac:dyDescent="0.3">
      <c r="A68" s="27"/>
      <c r="B68" s="27"/>
      <c r="C68" s="27"/>
      <c r="D68" s="27"/>
      <c r="E68" s="28"/>
      <c r="F68" s="28"/>
      <c r="G68" s="28"/>
      <c r="H68" s="28"/>
      <c r="I68" s="28"/>
      <c r="J68" s="28"/>
      <c r="K68" s="28"/>
      <c r="L68" s="28"/>
      <c r="M68" s="27"/>
      <c r="Q68" s="5" t="s">
        <v>355</v>
      </c>
    </row>
    <row r="69" spans="1:48" ht="30" customHeight="1" x14ac:dyDescent="0.3">
      <c r="A69" s="27"/>
      <c r="B69" s="27"/>
      <c r="C69" s="27"/>
      <c r="D69" s="27"/>
      <c r="E69" s="28"/>
      <c r="F69" s="28"/>
      <c r="G69" s="28"/>
      <c r="H69" s="28"/>
      <c r="I69" s="28"/>
      <c r="J69" s="28"/>
      <c r="K69" s="28"/>
      <c r="L69" s="28"/>
      <c r="M69" s="27"/>
      <c r="Q69" s="5" t="s">
        <v>355</v>
      </c>
    </row>
    <row r="70" spans="1:48" ht="30" customHeight="1" x14ac:dyDescent="0.3">
      <c r="A70" s="27"/>
      <c r="B70" s="27"/>
      <c r="C70" s="27"/>
      <c r="D70" s="27"/>
      <c r="E70" s="28"/>
      <c r="F70" s="28"/>
      <c r="G70" s="28"/>
      <c r="H70" s="28"/>
      <c r="I70" s="28"/>
      <c r="J70" s="28"/>
      <c r="K70" s="28"/>
      <c r="L70" s="28"/>
      <c r="M70" s="27"/>
      <c r="Q70" s="5" t="s">
        <v>355</v>
      </c>
    </row>
    <row r="71" spans="1:48" ht="30" customHeight="1" x14ac:dyDescent="0.3">
      <c r="A71" s="27"/>
      <c r="B71" s="27"/>
      <c r="C71" s="27"/>
      <c r="D71" s="27"/>
      <c r="E71" s="28"/>
      <c r="F71" s="28"/>
      <c r="G71" s="28"/>
      <c r="H71" s="28"/>
      <c r="I71" s="28"/>
      <c r="J71" s="28"/>
      <c r="K71" s="28"/>
      <c r="L71" s="28"/>
      <c r="M71" s="27"/>
      <c r="Q71" s="5" t="s">
        <v>355</v>
      </c>
    </row>
    <row r="72" spans="1:48" ht="30" customHeight="1" x14ac:dyDescent="0.3">
      <c r="A72" s="27"/>
      <c r="B72" s="27"/>
      <c r="C72" s="27"/>
      <c r="D72" s="27"/>
      <c r="E72" s="28"/>
      <c r="F72" s="28"/>
      <c r="G72" s="28"/>
      <c r="H72" s="28"/>
      <c r="I72" s="28"/>
      <c r="J72" s="28"/>
      <c r="K72" s="28"/>
      <c r="L72" s="28"/>
      <c r="M72" s="27"/>
      <c r="Q72" s="5" t="s">
        <v>355</v>
      </c>
    </row>
    <row r="73" spans="1:48" ht="30" customHeight="1" x14ac:dyDescent="0.3">
      <c r="A73" s="27"/>
      <c r="B73" s="27"/>
      <c r="C73" s="27"/>
      <c r="D73" s="27"/>
      <c r="E73" s="28"/>
      <c r="F73" s="28"/>
      <c r="G73" s="28"/>
      <c r="H73" s="28"/>
      <c r="I73" s="28"/>
      <c r="J73" s="28"/>
      <c r="K73" s="28"/>
      <c r="L73" s="28"/>
      <c r="M73" s="27"/>
      <c r="Q73" s="5" t="s">
        <v>355</v>
      </c>
    </row>
    <row r="74" spans="1:48" ht="30" customHeight="1" x14ac:dyDescent="0.3">
      <c r="A74" s="27"/>
      <c r="B74" s="27"/>
      <c r="C74" s="27"/>
      <c r="D74" s="27"/>
      <c r="E74" s="28"/>
      <c r="F74" s="28"/>
      <c r="G74" s="28"/>
      <c r="H74" s="28"/>
      <c r="I74" s="28"/>
      <c r="J74" s="28"/>
      <c r="K74" s="28"/>
      <c r="L74" s="28"/>
      <c r="M74" s="27"/>
      <c r="Q74" s="5" t="s">
        <v>355</v>
      </c>
    </row>
    <row r="75" spans="1:48" ht="30" customHeight="1" x14ac:dyDescent="0.3">
      <c r="A75" s="39" t="s">
        <v>349</v>
      </c>
      <c r="B75" s="27"/>
      <c r="C75" s="27"/>
      <c r="D75" s="27"/>
      <c r="E75" s="28"/>
      <c r="F75" s="28"/>
      <c r="G75" s="28"/>
      <c r="H75" s="28"/>
      <c r="I75" s="28"/>
      <c r="J75" s="28"/>
      <c r="K75" s="28"/>
      <c r="L75" s="28"/>
      <c r="M75" s="27"/>
      <c r="N75" t="s">
        <v>374</v>
      </c>
    </row>
    <row r="76" spans="1:48" ht="30" customHeight="1" x14ac:dyDescent="0.3">
      <c r="A76" s="44" t="s">
        <v>354</v>
      </c>
      <c r="B76" s="44" t="s">
        <v>0</v>
      </c>
      <c r="C76" s="42"/>
      <c r="D76" s="42"/>
      <c r="E76" s="43"/>
      <c r="F76" s="43"/>
      <c r="G76" s="43"/>
      <c r="H76" s="43"/>
      <c r="I76" s="43"/>
      <c r="J76" s="43"/>
      <c r="K76" s="43"/>
      <c r="L76" s="43"/>
      <c r="M76" s="42"/>
      <c r="N76" s="40"/>
      <c r="O76" s="40"/>
      <c r="P76" s="40"/>
      <c r="Q76" s="41" t="s">
        <v>353</v>
      </c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</row>
    <row r="77" spans="1:48" ht="30" customHeight="1" x14ac:dyDescent="0.3">
      <c r="A77" s="39" t="s">
        <v>399</v>
      </c>
      <c r="B77" s="39" t="s">
        <v>398</v>
      </c>
      <c r="C77" s="39" t="s">
        <v>310</v>
      </c>
      <c r="D77" s="27"/>
      <c r="E77" s="28"/>
      <c r="F77" s="28"/>
      <c r="G77" s="28"/>
      <c r="H77" s="28"/>
      <c r="I77" s="28"/>
      <c r="J77" s="28"/>
      <c r="K77" s="28"/>
      <c r="L77" s="28"/>
      <c r="M77" s="39" t="s">
        <v>0</v>
      </c>
      <c r="N77" s="31" t="s">
        <v>397</v>
      </c>
      <c r="O77" s="31" t="s">
        <v>0</v>
      </c>
      <c r="P77" s="31" t="s">
        <v>0</v>
      </c>
      <c r="Q77" s="31" t="s">
        <v>353</v>
      </c>
      <c r="R77" s="31" t="s">
        <v>6</v>
      </c>
      <c r="S77" s="31" t="s">
        <v>6</v>
      </c>
      <c r="T77" s="31" t="s">
        <v>376</v>
      </c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1" t="s">
        <v>0</v>
      </c>
      <c r="AS77" s="31" t="s">
        <v>0</v>
      </c>
      <c r="AT77" s="32"/>
      <c r="AU77" s="31" t="s">
        <v>396</v>
      </c>
      <c r="AV77" s="32">
        <v>45</v>
      </c>
    </row>
    <row r="78" spans="1:48" ht="30" customHeight="1" x14ac:dyDescent="0.3">
      <c r="A78" s="39" t="s">
        <v>395</v>
      </c>
      <c r="B78" s="39" t="s">
        <v>394</v>
      </c>
      <c r="C78" s="39" t="s">
        <v>285</v>
      </c>
      <c r="D78" s="27"/>
      <c r="E78" s="28"/>
      <c r="F78" s="28"/>
      <c r="G78" s="28"/>
      <c r="H78" s="28"/>
      <c r="I78" s="28"/>
      <c r="J78" s="28"/>
      <c r="K78" s="28"/>
      <c r="L78" s="28"/>
      <c r="M78" s="39" t="s">
        <v>0</v>
      </c>
      <c r="N78" s="31" t="s">
        <v>393</v>
      </c>
      <c r="O78" s="31" t="s">
        <v>0</v>
      </c>
      <c r="P78" s="31" t="s">
        <v>0</v>
      </c>
      <c r="Q78" s="31" t="s">
        <v>353</v>
      </c>
      <c r="R78" s="31" t="s">
        <v>6</v>
      </c>
      <c r="S78" s="31" t="s">
        <v>6</v>
      </c>
      <c r="T78" s="31" t="s">
        <v>376</v>
      </c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1" t="s">
        <v>0</v>
      </c>
      <c r="AS78" s="31" t="s">
        <v>0</v>
      </c>
      <c r="AT78" s="32"/>
      <c r="AU78" s="31" t="s">
        <v>392</v>
      </c>
      <c r="AV78" s="32">
        <v>49</v>
      </c>
    </row>
    <row r="79" spans="1:48" ht="30" customHeight="1" x14ac:dyDescent="0.3">
      <c r="A79" s="39" t="s">
        <v>391</v>
      </c>
      <c r="B79" s="39" t="s">
        <v>0</v>
      </c>
      <c r="C79" s="39" t="s">
        <v>69</v>
      </c>
      <c r="D79" s="27"/>
      <c r="E79" s="28"/>
      <c r="F79" s="28"/>
      <c r="G79" s="28"/>
      <c r="H79" s="28"/>
      <c r="I79" s="28"/>
      <c r="J79" s="28"/>
      <c r="K79" s="28"/>
      <c r="L79" s="28"/>
      <c r="M79" s="39" t="s">
        <v>0</v>
      </c>
      <c r="N79" s="31" t="s">
        <v>390</v>
      </c>
      <c r="O79" s="31" t="s">
        <v>0</v>
      </c>
      <c r="P79" s="31" t="s">
        <v>0</v>
      </c>
      <c r="Q79" s="31" t="s">
        <v>353</v>
      </c>
      <c r="R79" s="31" t="s">
        <v>6</v>
      </c>
      <c r="S79" s="31" t="s">
        <v>6</v>
      </c>
      <c r="T79" s="31" t="s">
        <v>376</v>
      </c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1" t="s">
        <v>0</v>
      </c>
      <c r="AS79" s="31" t="s">
        <v>0</v>
      </c>
      <c r="AT79" s="32"/>
      <c r="AU79" s="31" t="s">
        <v>389</v>
      </c>
      <c r="AV79" s="32">
        <v>54</v>
      </c>
    </row>
    <row r="80" spans="1:48" ht="30" customHeight="1" x14ac:dyDescent="0.3">
      <c r="A80" s="27"/>
      <c r="B80" s="27"/>
      <c r="C80" s="27"/>
      <c r="D80" s="27"/>
      <c r="E80" s="28"/>
      <c r="F80" s="28"/>
      <c r="G80" s="28"/>
      <c r="H80" s="28"/>
      <c r="I80" s="28"/>
      <c r="J80" s="28"/>
      <c r="K80" s="28"/>
      <c r="L80" s="28"/>
      <c r="M80" s="27"/>
      <c r="Q80" s="5" t="s">
        <v>353</v>
      </c>
    </row>
    <row r="81" spans="1:17" ht="30" customHeight="1" x14ac:dyDescent="0.3">
      <c r="A81" s="27"/>
      <c r="B81" s="27"/>
      <c r="C81" s="27"/>
      <c r="D81" s="27"/>
      <c r="E81" s="28"/>
      <c r="F81" s="28"/>
      <c r="G81" s="28"/>
      <c r="H81" s="28"/>
      <c r="I81" s="28"/>
      <c r="J81" s="28"/>
      <c r="K81" s="28"/>
      <c r="L81" s="28"/>
      <c r="M81" s="27"/>
      <c r="Q81" s="5" t="s">
        <v>353</v>
      </c>
    </row>
    <row r="82" spans="1:17" ht="30" customHeight="1" x14ac:dyDescent="0.3">
      <c r="A82" s="27"/>
      <c r="B82" s="27"/>
      <c r="C82" s="27"/>
      <c r="D82" s="27"/>
      <c r="E82" s="28"/>
      <c r="F82" s="28"/>
      <c r="G82" s="28"/>
      <c r="H82" s="28"/>
      <c r="I82" s="28"/>
      <c r="J82" s="28"/>
      <c r="K82" s="28"/>
      <c r="L82" s="28"/>
      <c r="M82" s="27"/>
      <c r="Q82" s="5" t="s">
        <v>353</v>
      </c>
    </row>
    <row r="83" spans="1:17" ht="30" customHeight="1" x14ac:dyDescent="0.3">
      <c r="A83" s="27"/>
      <c r="B83" s="27"/>
      <c r="C83" s="27"/>
      <c r="D83" s="27"/>
      <c r="E83" s="28"/>
      <c r="F83" s="28"/>
      <c r="G83" s="28"/>
      <c r="H83" s="28"/>
      <c r="I83" s="28"/>
      <c r="J83" s="28"/>
      <c r="K83" s="28"/>
      <c r="L83" s="28"/>
      <c r="M83" s="27"/>
      <c r="Q83" s="5" t="s">
        <v>353</v>
      </c>
    </row>
    <row r="84" spans="1:17" ht="30" customHeight="1" x14ac:dyDescent="0.3">
      <c r="A84" s="27"/>
      <c r="B84" s="27"/>
      <c r="C84" s="27"/>
      <c r="D84" s="27"/>
      <c r="E84" s="28"/>
      <c r="F84" s="28"/>
      <c r="G84" s="28"/>
      <c r="H84" s="28"/>
      <c r="I84" s="28"/>
      <c r="J84" s="28"/>
      <c r="K84" s="28"/>
      <c r="L84" s="28"/>
      <c r="M84" s="27"/>
      <c r="Q84" s="5" t="s">
        <v>353</v>
      </c>
    </row>
    <row r="85" spans="1:17" ht="30" customHeight="1" x14ac:dyDescent="0.3">
      <c r="A85" s="27"/>
      <c r="B85" s="27"/>
      <c r="C85" s="27"/>
      <c r="D85" s="27"/>
      <c r="E85" s="28"/>
      <c r="F85" s="28"/>
      <c r="G85" s="28"/>
      <c r="H85" s="28"/>
      <c r="I85" s="28"/>
      <c r="J85" s="28"/>
      <c r="K85" s="28"/>
      <c r="L85" s="28"/>
      <c r="M85" s="27"/>
      <c r="Q85" s="5" t="s">
        <v>353</v>
      </c>
    </row>
    <row r="86" spans="1:17" ht="30" customHeight="1" x14ac:dyDescent="0.3">
      <c r="A86" s="27"/>
      <c r="B86" s="27"/>
      <c r="C86" s="27"/>
      <c r="D86" s="27"/>
      <c r="E86" s="28"/>
      <c r="F86" s="28"/>
      <c r="G86" s="28"/>
      <c r="H86" s="28"/>
      <c r="I86" s="28"/>
      <c r="J86" s="28"/>
      <c r="K86" s="28"/>
      <c r="L86" s="28"/>
      <c r="M86" s="27"/>
      <c r="Q86" s="5" t="s">
        <v>353</v>
      </c>
    </row>
    <row r="87" spans="1:17" ht="30" customHeight="1" x14ac:dyDescent="0.3">
      <c r="A87" s="27"/>
      <c r="B87" s="27"/>
      <c r="C87" s="27"/>
      <c r="D87" s="27"/>
      <c r="E87" s="28"/>
      <c r="F87" s="28"/>
      <c r="G87" s="28"/>
      <c r="H87" s="28"/>
      <c r="I87" s="28"/>
      <c r="J87" s="28"/>
      <c r="K87" s="28"/>
      <c r="L87" s="28"/>
      <c r="M87" s="27"/>
      <c r="Q87" s="5" t="s">
        <v>353</v>
      </c>
    </row>
    <row r="88" spans="1:17" ht="30" customHeight="1" x14ac:dyDescent="0.3">
      <c r="A88" s="27"/>
      <c r="B88" s="27"/>
      <c r="C88" s="27"/>
      <c r="D88" s="27"/>
      <c r="E88" s="28"/>
      <c r="F88" s="28"/>
      <c r="G88" s="28"/>
      <c r="H88" s="28"/>
      <c r="I88" s="28"/>
      <c r="J88" s="28"/>
      <c r="K88" s="28"/>
      <c r="L88" s="28"/>
      <c r="M88" s="27"/>
      <c r="Q88" s="5" t="s">
        <v>353</v>
      </c>
    </row>
    <row r="89" spans="1:17" ht="30" customHeight="1" x14ac:dyDescent="0.3">
      <c r="A89" s="27"/>
      <c r="B89" s="27"/>
      <c r="C89" s="27"/>
      <c r="D89" s="27"/>
      <c r="E89" s="28"/>
      <c r="F89" s="28"/>
      <c r="G89" s="28"/>
      <c r="H89" s="28"/>
      <c r="I89" s="28"/>
      <c r="J89" s="28"/>
      <c r="K89" s="28"/>
      <c r="L89" s="28"/>
      <c r="M89" s="27"/>
      <c r="Q89" s="5" t="s">
        <v>353</v>
      </c>
    </row>
    <row r="90" spans="1:17" ht="30" customHeight="1" x14ac:dyDescent="0.3">
      <c r="A90" s="27"/>
      <c r="B90" s="27"/>
      <c r="C90" s="27"/>
      <c r="D90" s="27"/>
      <c r="E90" s="28"/>
      <c r="F90" s="28"/>
      <c r="G90" s="28"/>
      <c r="H90" s="28"/>
      <c r="I90" s="28"/>
      <c r="J90" s="28"/>
      <c r="K90" s="28"/>
      <c r="L90" s="28"/>
      <c r="M90" s="27"/>
      <c r="Q90" s="5" t="s">
        <v>353</v>
      </c>
    </row>
    <row r="91" spans="1:17" ht="30" customHeight="1" x14ac:dyDescent="0.3">
      <c r="A91" s="27"/>
      <c r="B91" s="27"/>
      <c r="C91" s="27"/>
      <c r="D91" s="27"/>
      <c r="E91" s="28"/>
      <c r="F91" s="28"/>
      <c r="G91" s="28"/>
      <c r="H91" s="28"/>
      <c r="I91" s="28"/>
      <c r="J91" s="28"/>
      <c r="K91" s="28"/>
      <c r="L91" s="28"/>
      <c r="M91" s="27"/>
      <c r="Q91" s="5" t="s">
        <v>353</v>
      </c>
    </row>
    <row r="92" spans="1:17" ht="30" customHeight="1" x14ac:dyDescent="0.3">
      <c r="A92" s="27"/>
      <c r="B92" s="27"/>
      <c r="C92" s="27"/>
      <c r="D92" s="27"/>
      <c r="E92" s="28"/>
      <c r="F92" s="28"/>
      <c r="G92" s="28"/>
      <c r="H92" s="28"/>
      <c r="I92" s="28"/>
      <c r="J92" s="28"/>
      <c r="K92" s="28"/>
      <c r="L92" s="28"/>
      <c r="M92" s="27"/>
      <c r="Q92" s="5" t="s">
        <v>353</v>
      </c>
    </row>
    <row r="93" spans="1:17" ht="30" customHeight="1" x14ac:dyDescent="0.3">
      <c r="A93" s="27"/>
      <c r="B93" s="27"/>
      <c r="C93" s="27"/>
      <c r="D93" s="27"/>
      <c r="E93" s="28"/>
      <c r="F93" s="28"/>
      <c r="G93" s="28"/>
      <c r="H93" s="28"/>
      <c r="I93" s="28"/>
      <c r="J93" s="28"/>
      <c r="K93" s="28"/>
      <c r="L93" s="28"/>
      <c r="M93" s="27"/>
      <c r="Q93" s="5" t="s">
        <v>353</v>
      </c>
    </row>
    <row r="94" spans="1:17" ht="30" customHeight="1" x14ac:dyDescent="0.3">
      <c r="A94" s="27"/>
      <c r="B94" s="27"/>
      <c r="C94" s="27"/>
      <c r="D94" s="27"/>
      <c r="E94" s="28"/>
      <c r="F94" s="28"/>
      <c r="G94" s="28"/>
      <c r="H94" s="28"/>
      <c r="I94" s="28"/>
      <c r="J94" s="28"/>
      <c r="K94" s="28"/>
      <c r="L94" s="28"/>
      <c r="M94" s="27"/>
      <c r="Q94" s="5" t="s">
        <v>353</v>
      </c>
    </row>
    <row r="95" spans="1:17" ht="30" customHeight="1" x14ac:dyDescent="0.3">
      <c r="A95" s="27"/>
      <c r="B95" s="27"/>
      <c r="C95" s="27"/>
      <c r="D95" s="27"/>
      <c r="E95" s="28"/>
      <c r="F95" s="28"/>
      <c r="G95" s="28"/>
      <c r="H95" s="28"/>
      <c r="I95" s="28"/>
      <c r="J95" s="28"/>
      <c r="K95" s="28"/>
      <c r="L95" s="28"/>
      <c r="M95" s="27"/>
      <c r="Q95" s="5" t="s">
        <v>353</v>
      </c>
    </row>
    <row r="96" spans="1:17" ht="30" customHeight="1" x14ac:dyDescent="0.3">
      <c r="A96" s="27"/>
      <c r="B96" s="27"/>
      <c r="C96" s="27"/>
      <c r="D96" s="27"/>
      <c r="E96" s="28"/>
      <c r="F96" s="28"/>
      <c r="G96" s="28"/>
      <c r="H96" s="28"/>
      <c r="I96" s="28"/>
      <c r="J96" s="28"/>
      <c r="K96" s="28"/>
      <c r="L96" s="28"/>
      <c r="M96" s="27"/>
      <c r="Q96" s="5" t="s">
        <v>353</v>
      </c>
    </row>
    <row r="97" spans="1:48" ht="30" customHeight="1" x14ac:dyDescent="0.3">
      <c r="A97" s="27"/>
      <c r="B97" s="27"/>
      <c r="C97" s="27"/>
      <c r="D97" s="27"/>
      <c r="E97" s="28"/>
      <c r="F97" s="28"/>
      <c r="G97" s="28"/>
      <c r="H97" s="28"/>
      <c r="I97" s="28"/>
      <c r="J97" s="28"/>
      <c r="K97" s="28"/>
      <c r="L97" s="28"/>
      <c r="M97" s="27"/>
      <c r="Q97" s="5" t="s">
        <v>353</v>
      </c>
    </row>
    <row r="98" spans="1:48" ht="30" customHeight="1" x14ac:dyDescent="0.3">
      <c r="A98" s="27"/>
      <c r="B98" s="27"/>
      <c r="C98" s="27"/>
      <c r="D98" s="27"/>
      <c r="E98" s="28"/>
      <c r="F98" s="28"/>
      <c r="G98" s="28"/>
      <c r="H98" s="28"/>
      <c r="I98" s="28"/>
      <c r="J98" s="28"/>
      <c r="K98" s="28"/>
      <c r="L98" s="28"/>
      <c r="M98" s="27"/>
      <c r="Q98" s="5" t="s">
        <v>353</v>
      </c>
    </row>
    <row r="99" spans="1:48" ht="30" customHeight="1" x14ac:dyDescent="0.3">
      <c r="A99" s="39" t="s">
        <v>349</v>
      </c>
      <c r="B99" s="27"/>
      <c r="C99" s="27"/>
      <c r="D99" s="27"/>
      <c r="E99" s="28"/>
      <c r="F99" s="28"/>
      <c r="G99" s="28"/>
      <c r="H99" s="28"/>
      <c r="I99" s="28"/>
      <c r="J99" s="28"/>
      <c r="K99" s="28"/>
      <c r="L99" s="28"/>
      <c r="M99" s="27"/>
      <c r="N99" t="s">
        <v>374</v>
      </c>
    </row>
    <row r="100" spans="1:48" ht="30" customHeight="1" x14ac:dyDescent="0.3">
      <c r="A100" s="39" t="s">
        <v>352</v>
      </c>
      <c r="B100" s="39" t="s">
        <v>0</v>
      </c>
      <c r="C100" s="27"/>
      <c r="D100" s="27"/>
      <c r="E100" s="28"/>
      <c r="F100" s="28"/>
      <c r="G100" s="28"/>
      <c r="H100" s="28"/>
      <c r="I100" s="28"/>
      <c r="J100" s="28"/>
      <c r="K100" s="28"/>
      <c r="L100" s="28"/>
      <c r="M100" s="27"/>
      <c r="N100" s="32"/>
      <c r="O100" s="32"/>
      <c r="P100" s="32"/>
      <c r="Q100" s="31" t="s">
        <v>351</v>
      </c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</row>
    <row r="101" spans="1:48" ht="30" customHeight="1" x14ac:dyDescent="0.3">
      <c r="A101" s="39" t="s">
        <v>388</v>
      </c>
      <c r="B101" s="39" t="s">
        <v>383</v>
      </c>
      <c r="C101" s="39" t="s">
        <v>207</v>
      </c>
      <c r="D101" s="27"/>
      <c r="E101" s="28"/>
      <c r="F101" s="28"/>
      <c r="G101" s="28"/>
      <c r="H101" s="28"/>
      <c r="I101" s="28"/>
      <c r="J101" s="28"/>
      <c r="K101" s="28"/>
      <c r="L101" s="28"/>
      <c r="M101" s="39" t="s">
        <v>387</v>
      </c>
      <c r="N101" s="31" t="s">
        <v>386</v>
      </c>
      <c r="O101" s="31" t="s">
        <v>0</v>
      </c>
      <c r="P101" s="31" t="s">
        <v>0</v>
      </c>
      <c r="Q101" s="31" t="s">
        <v>351</v>
      </c>
      <c r="R101" s="31" t="s">
        <v>376</v>
      </c>
      <c r="S101" s="31" t="s">
        <v>6</v>
      </c>
      <c r="T101" s="31" t="s">
        <v>6</v>
      </c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1" t="s">
        <v>0</v>
      </c>
      <c r="AS101" s="31" t="s">
        <v>0</v>
      </c>
      <c r="AT101" s="32"/>
      <c r="AU101" s="31" t="s">
        <v>385</v>
      </c>
      <c r="AV101" s="32">
        <v>40</v>
      </c>
    </row>
    <row r="102" spans="1:48" ht="30" customHeight="1" x14ac:dyDescent="0.3">
      <c r="A102" s="39" t="s">
        <v>384</v>
      </c>
      <c r="B102" s="39" t="s">
        <v>383</v>
      </c>
      <c r="C102" s="39" t="s">
        <v>207</v>
      </c>
      <c r="D102" s="27"/>
      <c r="E102" s="28"/>
      <c r="F102" s="28"/>
      <c r="G102" s="28"/>
      <c r="H102" s="28"/>
      <c r="I102" s="28"/>
      <c r="J102" s="28"/>
      <c r="K102" s="28"/>
      <c r="L102" s="28"/>
      <c r="M102" s="39" t="s">
        <v>382</v>
      </c>
      <c r="N102" s="31" t="s">
        <v>381</v>
      </c>
      <c r="O102" s="31" t="s">
        <v>0</v>
      </c>
      <c r="P102" s="31" t="s">
        <v>0</v>
      </c>
      <c r="Q102" s="31" t="s">
        <v>351</v>
      </c>
      <c r="R102" s="31" t="s">
        <v>376</v>
      </c>
      <c r="S102" s="31" t="s">
        <v>6</v>
      </c>
      <c r="T102" s="31" t="s">
        <v>6</v>
      </c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1" t="s">
        <v>0</v>
      </c>
      <c r="AS102" s="31" t="s">
        <v>0</v>
      </c>
      <c r="AT102" s="32"/>
      <c r="AU102" s="31" t="s">
        <v>380</v>
      </c>
      <c r="AV102" s="32">
        <v>41</v>
      </c>
    </row>
    <row r="103" spans="1:48" ht="30" customHeight="1" x14ac:dyDescent="0.3">
      <c r="A103" s="39" t="s">
        <v>379</v>
      </c>
      <c r="B103" s="39" t="s">
        <v>0</v>
      </c>
      <c r="C103" s="39" t="s">
        <v>69</v>
      </c>
      <c r="D103" s="27"/>
      <c r="E103" s="28"/>
      <c r="F103" s="28"/>
      <c r="G103" s="28"/>
      <c r="H103" s="28"/>
      <c r="I103" s="28"/>
      <c r="J103" s="28"/>
      <c r="K103" s="28"/>
      <c r="L103" s="28"/>
      <c r="M103" s="39" t="s">
        <v>378</v>
      </c>
      <c r="N103" s="31" t="s">
        <v>377</v>
      </c>
      <c r="O103" s="31" t="s">
        <v>0</v>
      </c>
      <c r="P103" s="31" t="s">
        <v>0</v>
      </c>
      <c r="Q103" s="31" t="s">
        <v>351</v>
      </c>
      <c r="R103" s="31" t="s">
        <v>376</v>
      </c>
      <c r="S103" s="31" t="s">
        <v>6</v>
      </c>
      <c r="T103" s="31" t="s">
        <v>6</v>
      </c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1" t="s">
        <v>0</v>
      </c>
      <c r="AS103" s="31" t="s">
        <v>0</v>
      </c>
      <c r="AT103" s="32"/>
      <c r="AU103" s="31" t="s">
        <v>375</v>
      </c>
      <c r="AV103" s="32">
        <v>42</v>
      </c>
    </row>
    <row r="104" spans="1:48" ht="30" customHeight="1" x14ac:dyDescent="0.3">
      <c r="A104" s="27"/>
      <c r="B104" s="27"/>
      <c r="C104" s="27"/>
      <c r="D104" s="27"/>
      <c r="E104" s="28"/>
      <c r="F104" s="28"/>
      <c r="G104" s="28"/>
      <c r="H104" s="28"/>
      <c r="I104" s="28"/>
      <c r="J104" s="28"/>
      <c r="K104" s="28"/>
      <c r="L104" s="28"/>
      <c r="M104" s="27"/>
      <c r="Q104" s="5" t="s">
        <v>351</v>
      </c>
    </row>
    <row r="105" spans="1:48" ht="30" customHeight="1" x14ac:dyDescent="0.3">
      <c r="A105" s="27"/>
      <c r="B105" s="27"/>
      <c r="C105" s="27"/>
      <c r="D105" s="27"/>
      <c r="E105" s="28"/>
      <c r="F105" s="28"/>
      <c r="G105" s="28"/>
      <c r="H105" s="28"/>
      <c r="I105" s="28"/>
      <c r="J105" s="28"/>
      <c r="K105" s="28"/>
      <c r="L105" s="28"/>
      <c r="M105" s="27"/>
      <c r="Q105" s="5" t="s">
        <v>351</v>
      </c>
    </row>
    <row r="106" spans="1:48" ht="30" customHeight="1" x14ac:dyDescent="0.3">
      <c r="A106" s="27"/>
      <c r="B106" s="27"/>
      <c r="C106" s="27"/>
      <c r="D106" s="27"/>
      <c r="E106" s="28"/>
      <c r="F106" s="28"/>
      <c r="G106" s="28"/>
      <c r="H106" s="28"/>
      <c r="I106" s="28"/>
      <c r="J106" s="28"/>
      <c r="K106" s="28"/>
      <c r="L106" s="28"/>
      <c r="M106" s="27"/>
      <c r="Q106" s="5" t="s">
        <v>351</v>
      </c>
    </row>
    <row r="107" spans="1:48" ht="30" customHeight="1" x14ac:dyDescent="0.3">
      <c r="A107" s="27"/>
      <c r="B107" s="27"/>
      <c r="C107" s="27"/>
      <c r="D107" s="27"/>
      <c r="E107" s="28"/>
      <c r="F107" s="28"/>
      <c r="G107" s="28"/>
      <c r="H107" s="28"/>
      <c r="I107" s="28"/>
      <c r="J107" s="28"/>
      <c r="K107" s="28"/>
      <c r="L107" s="28"/>
      <c r="M107" s="27"/>
      <c r="Q107" s="5" t="s">
        <v>351</v>
      </c>
    </row>
    <row r="108" spans="1:48" ht="30" customHeight="1" x14ac:dyDescent="0.3">
      <c r="A108" s="27"/>
      <c r="B108" s="27"/>
      <c r="C108" s="27"/>
      <c r="D108" s="27"/>
      <c r="E108" s="28"/>
      <c r="F108" s="28"/>
      <c r="G108" s="28"/>
      <c r="H108" s="28"/>
      <c r="I108" s="28"/>
      <c r="J108" s="28"/>
      <c r="K108" s="28"/>
      <c r="L108" s="28"/>
      <c r="M108" s="27"/>
      <c r="Q108" s="5" t="s">
        <v>351</v>
      </c>
    </row>
    <row r="109" spans="1:48" ht="30" customHeight="1" x14ac:dyDescent="0.3">
      <c r="A109" s="27"/>
      <c r="B109" s="27"/>
      <c r="C109" s="27"/>
      <c r="D109" s="27"/>
      <c r="E109" s="28"/>
      <c r="F109" s="28"/>
      <c r="G109" s="28"/>
      <c r="H109" s="28"/>
      <c r="I109" s="28"/>
      <c r="J109" s="28"/>
      <c r="K109" s="28"/>
      <c r="L109" s="28"/>
      <c r="M109" s="27"/>
      <c r="Q109" s="5" t="s">
        <v>351</v>
      </c>
    </row>
    <row r="110" spans="1:48" ht="30" customHeight="1" x14ac:dyDescent="0.3">
      <c r="A110" s="27"/>
      <c r="B110" s="27"/>
      <c r="C110" s="27"/>
      <c r="D110" s="27"/>
      <c r="E110" s="28"/>
      <c r="F110" s="28"/>
      <c r="G110" s="28"/>
      <c r="H110" s="28"/>
      <c r="I110" s="28"/>
      <c r="J110" s="28"/>
      <c r="K110" s="28"/>
      <c r="L110" s="28"/>
      <c r="M110" s="27"/>
      <c r="Q110" s="5" t="s">
        <v>351</v>
      </c>
    </row>
    <row r="111" spans="1:48" ht="30" customHeight="1" x14ac:dyDescent="0.3">
      <c r="A111" s="27"/>
      <c r="B111" s="27"/>
      <c r="C111" s="27"/>
      <c r="D111" s="27"/>
      <c r="E111" s="28"/>
      <c r="F111" s="28"/>
      <c r="G111" s="28"/>
      <c r="H111" s="28"/>
      <c r="I111" s="28"/>
      <c r="J111" s="28"/>
      <c r="K111" s="28"/>
      <c r="L111" s="28"/>
      <c r="M111" s="27"/>
      <c r="Q111" s="5" t="s">
        <v>351</v>
      </c>
    </row>
    <row r="112" spans="1:48" ht="30" customHeight="1" x14ac:dyDescent="0.3">
      <c r="A112" s="27"/>
      <c r="B112" s="27"/>
      <c r="C112" s="27"/>
      <c r="D112" s="27"/>
      <c r="E112" s="28"/>
      <c r="F112" s="28"/>
      <c r="G112" s="28"/>
      <c r="H112" s="28"/>
      <c r="I112" s="28"/>
      <c r="J112" s="28"/>
      <c r="K112" s="28"/>
      <c r="L112" s="28"/>
      <c r="M112" s="27"/>
      <c r="Q112" s="5" t="s">
        <v>351</v>
      </c>
    </row>
    <row r="113" spans="1:17" ht="30" customHeight="1" x14ac:dyDescent="0.3">
      <c r="A113" s="27"/>
      <c r="B113" s="27"/>
      <c r="C113" s="27"/>
      <c r="D113" s="27"/>
      <c r="E113" s="28"/>
      <c r="F113" s="28"/>
      <c r="G113" s="28"/>
      <c r="H113" s="28"/>
      <c r="I113" s="28"/>
      <c r="J113" s="28"/>
      <c r="K113" s="28"/>
      <c r="L113" s="28"/>
      <c r="M113" s="27"/>
      <c r="Q113" s="5" t="s">
        <v>351</v>
      </c>
    </row>
    <row r="114" spans="1:17" ht="30" customHeight="1" x14ac:dyDescent="0.3">
      <c r="A114" s="27"/>
      <c r="B114" s="27"/>
      <c r="C114" s="27"/>
      <c r="D114" s="27"/>
      <c r="E114" s="28"/>
      <c r="F114" s="28"/>
      <c r="G114" s="28"/>
      <c r="H114" s="28"/>
      <c r="I114" s="28"/>
      <c r="J114" s="28"/>
      <c r="K114" s="28"/>
      <c r="L114" s="28"/>
      <c r="M114" s="27"/>
      <c r="Q114" s="5" t="s">
        <v>351</v>
      </c>
    </row>
    <row r="115" spans="1:17" ht="30" customHeight="1" x14ac:dyDescent="0.3">
      <c r="A115" s="27"/>
      <c r="B115" s="27"/>
      <c r="C115" s="27"/>
      <c r="D115" s="27"/>
      <c r="E115" s="28"/>
      <c r="F115" s="28"/>
      <c r="G115" s="28"/>
      <c r="H115" s="28"/>
      <c r="I115" s="28"/>
      <c r="J115" s="28"/>
      <c r="K115" s="28"/>
      <c r="L115" s="28"/>
      <c r="M115" s="27"/>
      <c r="Q115" s="5" t="s">
        <v>351</v>
      </c>
    </row>
    <row r="116" spans="1:17" ht="30" customHeight="1" x14ac:dyDescent="0.3">
      <c r="A116" s="27"/>
      <c r="B116" s="27"/>
      <c r="C116" s="27"/>
      <c r="D116" s="27"/>
      <c r="E116" s="28"/>
      <c r="F116" s="28"/>
      <c r="G116" s="28"/>
      <c r="H116" s="28"/>
      <c r="I116" s="28"/>
      <c r="J116" s="28"/>
      <c r="K116" s="28"/>
      <c r="L116" s="28"/>
      <c r="M116" s="27"/>
      <c r="Q116" s="5" t="s">
        <v>351</v>
      </c>
    </row>
    <row r="117" spans="1:17" ht="30" customHeight="1" x14ac:dyDescent="0.3">
      <c r="A117" s="27"/>
      <c r="B117" s="27"/>
      <c r="C117" s="27"/>
      <c r="D117" s="27"/>
      <c r="E117" s="28"/>
      <c r="F117" s="28"/>
      <c r="G117" s="28"/>
      <c r="H117" s="28"/>
      <c r="I117" s="28"/>
      <c r="J117" s="28"/>
      <c r="K117" s="28"/>
      <c r="L117" s="28"/>
      <c r="M117" s="27"/>
      <c r="Q117" s="5" t="s">
        <v>351</v>
      </c>
    </row>
    <row r="118" spans="1:17" ht="30" customHeight="1" x14ac:dyDescent="0.3">
      <c r="A118" s="27"/>
      <c r="B118" s="27"/>
      <c r="C118" s="27"/>
      <c r="D118" s="27"/>
      <c r="E118" s="28"/>
      <c r="F118" s="28"/>
      <c r="G118" s="28"/>
      <c r="H118" s="28"/>
      <c r="I118" s="28"/>
      <c r="J118" s="28"/>
      <c r="K118" s="28"/>
      <c r="L118" s="28"/>
      <c r="M118" s="27"/>
      <c r="Q118" s="5" t="s">
        <v>351</v>
      </c>
    </row>
    <row r="119" spans="1:17" ht="30" customHeight="1" x14ac:dyDescent="0.3">
      <c r="A119" s="27"/>
      <c r="B119" s="27"/>
      <c r="C119" s="27"/>
      <c r="D119" s="27"/>
      <c r="E119" s="28"/>
      <c r="F119" s="28"/>
      <c r="G119" s="28"/>
      <c r="H119" s="28"/>
      <c r="I119" s="28"/>
      <c r="J119" s="28"/>
      <c r="K119" s="28"/>
      <c r="L119" s="28"/>
      <c r="M119" s="27"/>
      <c r="Q119" s="5" t="s">
        <v>351</v>
      </c>
    </row>
    <row r="120" spans="1:17" ht="30" customHeight="1" x14ac:dyDescent="0.3">
      <c r="A120" s="27"/>
      <c r="B120" s="27"/>
      <c r="C120" s="27"/>
      <c r="D120" s="27"/>
      <c r="E120" s="28"/>
      <c r="F120" s="28"/>
      <c r="G120" s="28"/>
      <c r="H120" s="28"/>
      <c r="I120" s="28"/>
      <c r="J120" s="28"/>
      <c r="K120" s="28"/>
      <c r="L120" s="28"/>
      <c r="M120" s="27"/>
      <c r="Q120" s="5" t="s">
        <v>351</v>
      </c>
    </row>
    <row r="121" spans="1:17" ht="30" customHeight="1" x14ac:dyDescent="0.3">
      <c r="A121" s="27"/>
      <c r="B121" s="27"/>
      <c r="C121" s="27"/>
      <c r="D121" s="27"/>
      <c r="E121" s="28"/>
      <c r="F121" s="28"/>
      <c r="G121" s="28"/>
      <c r="H121" s="28"/>
      <c r="I121" s="28"/>
      <c r="J121" s="28"/>
      <c r="K121" s="28"/>
      <c r="L121" s="28"/>
      <c r="M121" s="27"/>
      <c r="Q121" s="5" t="s">
        <v>351</v>
      </c>
    </row>
    <row r="122" spans="1:17" ht="30" customHeight="1" x14ac:dyDescent="0.3">
      <c r="A122" s="27"/>
      <c r="B122" s="27"/>
      <c r="C122" s="27"/>
      <c r="D122" s="27"/>
      <c r="E122" s="28"/>
      <c r="F122" s="28"/>
      <c r="G122" s="28"/>
      <c r="H122" s="28"/>
      <c r="I122" s="28"/>
      <c r="J122" s="28"/>
      <c r="K122" s="28"/>
      <c r="L122" s="28"/>
      <c r="M122" s="27"/>
      <c r="Q122" s="5" t="s">
        <v>351</v>
      </c>
    </row>
    <row r="123" spans="1:17" ht="30" customHeight="1" x14ac:dyDescent="0.3">
      <c r="A123" s="39" t="s">
        <v>349</v>
      </c>
      <c r="B123" s="27"/>
      <c r="C123" s="27"/>
      <c r="D123" s="27"/>
      <c r="E123" s="28"/>
      <c r="F123" s="28"/>
      <c r="G123" s="28"/>
      <c r="H123" s="28"/>
      <c r="I123" s="28"/>
      <c r="J123" s="28"/>
      <c r="K123" s="28"/>
      <c r="L123" s="28"/>
      <c r="M123" s="27"/>
      <c r="N123" t="s">
        <v>374</v>
      </c>
    </row>
  </sheetData>
  <mergeCells count="44">
    <mergeCell ref="AU2:AU3"/>
    <mergeCell ref="AV2:AV3"/>
    <mergeCell ref="AO2:AO3"/>
    <mergeCell ref="AP2:AP3"/>
    <mergeCell ref="AQ2:AQ3"/>
    <mergeCell ref="AR2:AR3"/>
    <mergeCell ref="AS2:AS3"/>
    <mergeCell ref="AT2:AT3"/>
    <mergeCell ref="AN2:AN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B2:AB3"/>
    <mergeCell ref="Q2:Q3"/>
    <mergeCell ref="R2:R3"/>
    <mergeCell ref="S2:S3"/>
    <mergeCell ref="T2:T3"/>
    <mergeCell ref="U2:U3"/>
    <mergeCell ref="V2:V3"/>
    <mergeCell ref="W2:W3"/>
    <mergeCell ref="A2:A3"/>
    <mergeCell ref="B2:B3"/>
    <mergeCell ref="C2:C3"/>
    <mergeCell ref="D2:D3"/>
    <mergeCell ref="E2:F2"/>
    <mergeCell ref="O2:O3"/>
    <mergeCell ref="X2:X3"/>
    <mergeCell ref="Y2:Y3"/>
    <mergeCell ref="Z2:Z3"/>
    <mergeCell ref="AA2:AA3"/>
    <mergeCell ref="P2:P3"/>
    <mergeCell ref="G2:H2"/>
    <mergeCell ref="I2:J2"/>
    <mergeCell ref="K2:L2"/>
    <mergeCell ref="M2:M3"/>
    <mergeCell ref="N2:N3"/>
  </mergeCells>
  <phoneticPr fontId="1" type="noConversion"/>
  <pageMargins left="0.78740157480314954" right="0" top="0.39370078740157477" bottom="0.39370078740157477" header="0" footer="0"/>
  <pageSetup paperSize="9" scale="64" fitToHeight="0" orientation="landscape" horizontalDpi="300" verticalDpi="300" r:id="rId1"/>
  <rowBreaks count="5" manualBreakCount="5">
    <brk id="27" max="16383" man="1"/>
    <brk id="51" max="16383" man="1"/>
    <brk id="75" max="16383" man="1"/>
    <brk id="99" max="16383" man="1"/>
    <brk id="1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원가계산서</vt:lpstr>
      <vt:lpstr>집계표(건축)</vt:lpstr>
      <vt:lpstr>집계표(기계)</vt:lpstr>
      <vt:lpstr>내역서(건축)</vt:lpstr>
      <vt:lpstr>내역서(기계)</vt:lpstr>
      <vt:lpstr>'내역서(건축)'!Print_Area</vt:lpstr>
      <vt:lpstr>'내역서(기계)'!Print_Area</vt:lpstr>
      <vt:lpstr>원가계산서!Print_Area</vt:lpstr>
      <vt:lpstr>'집계표(건축)'!Print_Area</vt:lpstr>
      <vt:lpstr>'집계표(기계)'!Print_Area</vt:lpstr>
      <vt:lpstr>'내역서(건축)'!Print_Titles</vt:lpstr>
      <vt:lpstr>'내역서(기계)'!Print_Titles</vt:lpstr>
      <vt:lpstr>원가계산서!Print_Titles</vt:lpstr>
      <vt:lpstr>'집계표(건축)'!Print_Titles</vt:lpstr>
      <vt:lpstr>'집계표(기계)'!Print_Titles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2026-08-14T01:21:35Z</dcterms:created>
  <dcterms:modified xsi:type="dcterms:W3CDTF">2026-08-14T01:33:34Z</dcterms:modified>
</cp:coreProperties>
</file>