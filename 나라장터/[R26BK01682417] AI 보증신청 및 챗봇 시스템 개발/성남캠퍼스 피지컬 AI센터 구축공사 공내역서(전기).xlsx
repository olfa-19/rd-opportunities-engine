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도정식\성남\공사\피지컬AI\공사 입찰\소액수의\공고\내역서\"/>
    </mc:Choice>
  </mc:AlternateContent>
  <bookViews>
    <workbookView xWindow="0" yWindow="0" windowWidth="28800" windowHeight="12135" tabRatio="724"/>
  </bookViews>
  <sheets>
    <sheet name="공사원가" sheetId="16" r:id="rId1"/>
    <sheet name="총괄표" sheetId="11" r:id="rId2"/>
    <sheet name="내역서" sheetId="10" r:id="rId3"/>
    <sheet name="합산자재" sheetId="6" state="hidden" r:id="rId4"/>
    <sheet name="사용설명" sheetId="14" state="hidden" r:id="rId5"/>
  </sheets>
  <definedNames>
    <definedName name="__IntlFixup" hidden="1">TRUE</definedName>
    <definedName name="__JJ132" localSheetId="0">#REF!</definedName>
    <definedName name="__JJ132">#REF!</definedName>
    <definedName name="__JK132" localSheetId="0">#REF!</definedName>
    <definedName name="__JK132">#REF!</definedName>
    <definedName name="__JN132" localSheetId="0">#REF!</definedName>
    <definedName name="__JN132">#REF!</definedName>
    <definedName name="__p1" localSheetId="0">#REF!</definedName>
    <definedName name="__p1">#REF!</definedName>
    <definedName name="_95년_포상금_지급내역" localSheetId="0">#REF!</definedName>
    <definedName name="_95년_포상금_지급내역">#REF!</definedName>
    <definedName name="_Fill" localSheetId="0" hidden="1">#REF!</definedName>
    <definedName name="_Fill" hidden="1">#REF!</definedName>
    <definedName name="_JJ132" localSheetId="0">#REF!</definedName>
    <definedName name="_JJ132">#REF!</definedName>
    <definedName name="_JK132" localSheetId="0">#REF!</definedName>
    <definedName name="_JK132">#REF!</definedName>
    <definedName name="_JN132" localSheetId="0">#REF!</definedName>
    <definedName name="_JN132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p1" localSheetId="0">#REF!</definedName>
    <definedName name="_p1">#REF!</definedName>
    <definedName name="_Parse_In" localSheetId="0" hidden="1">#REF!</definedName>
    <definedName name="_Parse_In" hidden="1">#REF!</definedName>
    <definedName name="_Regression_Int" hidden="1">1</definedName>
    <definedName name="_Sort" localSheetId="0" hidden="1">#REF!</definedName>
    <definedName name="_Sort" hidden="1">#REF!</definedName>
    <definedName name="a" localSheetId="0">#REF!</definedName>
    <definedName name="a">#REF!</definedName>
    <definedName name="AJH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lf" localSheetId="0">#REF!</definedName>
    <definedName name="alf">#REF!</definedName>
    <definedName name="b" localSheetId="0">#REF!</definedName>
    <definedName name="b">#REF!</definedName>
    <definedName name="BOX형수로집계" localSheetId="0">#REF!</definedName>
    <definedName name="BOX형수로집계">#REF!</definedName>
    <definedName name="CV_1C" localSheetId="0">#REF!</definedName>
    <definedName name="CV_1C">#REF!</definedName>
    <definedName name="d" localSheetId="0">#REF!</definedName>
    <definedName name="d">#REF!</definedName>
    <definedName name="_xlnm.Database" localSheetId="0">#REF!</definedName>
    <definedName name="_xlnm.Database">#REF!</definedName>
    <definedName name="ddddd" localSheetId="0" hidden="1">#REF!</definedName>
    <definedName name="ddddd" hidden="1">#REF!</definedName>
    <definedName name="DDFR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" localSheetId="0">#REF!</definedName>
    <definedName name="e">#REF!</definedName>
    <definedName name="ee" localSheetId="0" hidden="1">{#N/A,#N/A,FALSE,"단가표지"}</definedName>
    <definedName name="ee" hidden="1">{#N/A,#N/A,FALSE,"단가표지"}</definedName>
    <definedName name="ENJ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HFH" localSheetId="0" hidden="1">#REF!</definedName>
    <definedName name="FHFH" hidden="1">#REF!</definedName>
    <definedName name="FHFK" localSheetId="0" hidden="1">#REF!</definedName>
    <definedName name="FHFK" hidden="1">#REF!</definedName>
    <definedName name="GEMCO" localSheetId="0" hidden="1">#REF!</definedName>
    <definedName name="GEMCO" hidden="1">#REF!</definedName>
    <definedName name="gfgdfg" localSheetId="0" hidden="1">#REF!</definedName>
    <definedName name="gfgdfg" hidden="1">#REF!</definedName>
    <definedName name="GGGT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ardwar" localSheetId="0" hidden="1">#REF!</definedName>
    <definedName name="hardwar" hidden="1">#REF!</definedName>
    <definedName name="HTML_CodePage" hidden="1">949</definedName>
    <definedName name="HTML_Control" localSheetId="0" hidden="1">{"'단계별시설공사비'!$A$3:$K$51"}</definedName>
    <definedName name="HTML_Control" hidden="1">{"'단계별시설공사비'!$A$3:$K$51"}</definedName>
    <definedName name="HTML_Description" hidden="1">""</definedName>
    <definedName name="HTML_Email" hidden="1">""</definedName>
    <definedName name="HTML_Header" hidden="1">"사업비총괄"</definedName>
    <definedName name="HTML_LastUpdate" hidden="1">"01-06-17"</definedName>
    <definedName name="HTML_LineAfter" hidden="1">FALSE</definedName>
    <definedName name="HTML_LineBefore" hidden="1">FALSE</definedName>
    <definedName name="HTML_Name" hidden="1">"김정호"</definedName>
    <definedName name="HTML_OBDlg2" hidden="1">TRUE</definedName>
    <definedName name="HTML_OBDlg4" hidden="1">TRUE</definedName>
    <definedName name="HTML_OS" hidden="1">0</definedName>
    <definedName name="HTML_PathFile" hidden="1">"C:\My Documents\6.htm"</definedName>
    <definedName name="HTML_Title" hidden="1">"비용산출"</definedName>
    <definedName name="IIJELL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" localSheetId="0">#REF!</definedName>
    <definedName name="N">#REF!</definedName>
    <definedName name="ooo" localSheetId="0" hidden="1">#REF!</definedName>
    <definedName name="ooo" hidden="1">#REF!</definedName>
    <definedName name="OPOP" localSheetId="0" hidden="1">#REF!</definedName>
    <definedName name="OPOP" hidden="1">#REF!</definedName>
    <definedName name="OPP" localSheetId="0" hidden="1">#REF!</definedName>
    <definedName name="OPP" hidden="1">#REF!</definedName>
    <definedName name="OPPP" localSheetId="0" hidden="1">#REF!</definedName>
    <definedName name="OPPP" hidden="1">#REF!</definedName>
    <definedName name="P" localSheetId="0">#REF!</definedName>
    <definedName name="P">#REF!</definedName>
    <definedName name="_xlnm.Print_Area" localSheetId="0">공사원가!$A$1:$I$45</definedName>
    <definedName name="_xlnm.Print_Area" localSheetId="2">내역서!$A$1:$Q$185</definedName>
    <definedName name="_xlnm.Print_Area" localSheetId="1">총괄표!$A$1:$Q$107</definedName>
    <definedName name="_xlnm.Print_Area">#REF!</definedName>
    <definedName name="Print_Area_MI" localSheetId="0">#REF!</definedName>
    <definedName name="Print_Area_MI">#REF!</definedName>
    <definedName name="_xlnm.Print_Titles" localSheetId="0">#REF!</definedName>
    <definedName name="_xlnm.Print_Titles" localSheetId="2">내역서!$1:$3</definedName>
    <definedName name="_xlnm.Print_Titles" localSheetId="1">총괄표!$1:$3</definedName>
    <definedName name="_xlnm.Print_Titles" localSheetId="3">합산자재!$1:$3</definedName>
    <definedName name="_xlnm.Print_Titles">#REF!</definedName>
    <definedName name="Q" localSheetId="0">#REF!</definedName>
    <definedName name="Q">#REF!</definedName>
    <definedName name="qw" localSheetId="0" hidden="1">{#N/A,#N/A,FALSE,"단가표지"}</definedName>
    <definedName name="qw" hidden="1">{#N/A,#N/A,FALSE,"단가표지"}</definedName>
    <definedName name="RK" localSheetId="0" hidden="1">#REF!</definedName>
    <definedName name="RK" hidden="1">#REF!</definedName>
    <definedName name="SIZE" localSheetId="0">#REF!</definedName>
    <definedName name="SIZE">#REF!</definedName>
    <definedName name="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itle_Print" localSheetId="0">#REF!</definedName>
    <definedName name="Title_Print">#REF!</definedName>
    <definedName name="TTTT" localSheetId="0" hidden="1">#REF!</definedName>
    <definedName name="TTTT" hidden="1">#REF!</definedName>
    <definedName name="wm.조골재1" localSheetId="0" hidden="1">{#N/A,#N/A,FALSE,"조골재"}</definedName>
    <definedName name="wm.조골재1" hidden="1">{#N/A,#N/A,FALSE,"조골재"}</definedName>
    <definedName name="wrn.2번." localSheetId="0" hidden="1">{#N/A,#N/A,FALSE,"2~8번"}</definedName>
    <definedName name="wrn.2번." hidden="1">{#N/A,#N/A,FALSE,"2~8번"}</definedName>
    <definedName name="wrn.97년._.사업계획._.및._.예산지침." localSheetId="0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abc." localSheetId="0" hidden="1">{#N/A,#N/A,TRUE,"천상그린44PY"}</definedName>
    <definedName name="wrn.abc." hidden="1">{#N/A,#N/A,TRUE,"천상그린44PY"}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구조2." localSheetId="0" hidden="1">{#N/A,#N/A,FALSE,"구조2"}</definedName>
    <definedName name="wrn.구조2." hidden="1">{#N/A,#N/A,FALSE,"구조2"}</definedName>
    <definedName name="wrn.단가표지." localSheetId="0" hidden="1">{#N/A,#N/A,FALSE,"단가표지"}</definedName>
    <definedName name="wrn.단가표지." hidden="1">{#N/A,#N/A,FALSE,"단가표지"}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 localSheetId="0" hidden="1">{#N/A,#N/A,FALSE,"속도"}</definedName>
    <definedName name="wrn.속도." hidden="1">{#N/A,#N/A,FALSE,"속도"}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조골재." localSheetId="0" hidden="1">{#N/A,#N/A,FALSE,"조골재"}</definedName>
    <definedName name="wrn.조골재." hidden="1">{#N/A,#N/A,FALSE,"조골재"}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표지." localSheetId="0" hidden="1">{#N/A,#N/A,FALSE,"표지"}</definedName>
    <definedName name="wrn.표지." hidden="1">{#N/A,#N/A,FALSE,"표지"}</definedName>
    <definedName name="wrn.표지목차." localSheetId="0" hidden="1">{#N/A,#N/A,FALSE,"표지목차"}</definedName>
    <definedName name="wrn.표지목차." hidden="1">{#N/A,#N/A,FALSE,"표지목차"}</definedName>
    <definedName name="wrn.혼합골재." localSheetId="0" hidden="1">{#N/A,#N/A,FALSE,"혼합골재"}</definedName>
    <definedName name="wrn.혼합골재." hidden="1">{#N/A,#N/A,FALSE,"혼합골재"}</definedName>
    <definedName name="WW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_4F74ED08_7DE6_11D4_BC29_005004C1F3AD_.wvu.PrintTitles" localSheetId="0" hidden="1">#REF!</definedName>
    <definedName name="Z_4F74ED08_7DE6_11D4_BC29_005004C1F3AD_.wvu.PrintTitles" hidden="1">#REF!</definedName>
    <definedName name="zx" localSheetId="0" hidden="1">#REF!</definedName>
    <definedName name="zx" hidden="1">#REF!</definedName>
    <definedName name="ZZZ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아" localSheetId="0" hidden="1">#REF!</definedName>
    <definedName name="가아" hidden="1">#REF!</definedName>
    <definedName name="강감찬" localSheetId="0">#REF!</definedName>
    <definedName name="강감찬">#REF!</definedName>
    <definedName name="강아지" localSheetId="0" hidden="1">#REF!</definedName>
    <definedName name="강아지" hidden="1">#REF!</definedName>
    <definedName name="거ㅏ" localSheetId="0" hidden="1">#REF!</definedName>
    <definedName name="거ㅏ" hidden="1">#REF!</definedName>
    <definedName name="결표지" localSheetId="0" hidden="1">{#N/A,#N/A,FALSE,"표지"}</definedName>
    <definedName name="결표지" hidden="1">{#N/A,#N/A,FALSE,"표지"}</definedName>
    <definedName name="경계점말뚝" localSheetId="0">#REF!</definedName>
    <definedName name="경계점말뚝">#REF!</definedName>
    <definedName name="계약단가" localSheetId="0">#REF!</definedName>
    <definedName name="계약단가">#REF!</definedName>
    <definedName name="계측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급" localSheetId="0">#REF!</definedName>
    <definedName name="고급">#REF!</definedName>
    <definedName name="공공도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시설" localSheetId="0">#REF!</definedName>
    <definedName name="공공시설">#REF!</definedName>
    <definedName name="공사비" localSheetId="0">#REF!</definedName>
    <definedName name="공사비">#REF!</definedName>
    <definedName name="공업용뇌관2" localSheetId="0">#REF!</definedName>
    <definedName name="공업용뇌관2">#REF!</definedName>
    <definedName name="공통가설" localSheetId="0" hidden="1">#REF!</definedName>
    <definedName name="공통가설" hidden="1">#REF!</definedName>
    <definedName name="교육" localSheetId="0">#REF!</definedName>
    <definedName name="교육">#REF!</definedName>
    <definedName name="교통" localSheetId="0">#REF!</definedName>
    <definedName name="교통">#REF!</definedName>
    <definedName name="구산갑지" localSheetId="0" hidden="1">#REF!</definedName>
    <definedName name="구산갑지" hidden="1">#REF!</definedName>
    <definedName name="기간" localSheetId="0">#REF!</definedName>
    <definedName name="기간">#REF!</definedName>
    <definedName name="기계a" localSheetId="0">#REF!</definedName>
    <definedName name="기계a">#REF!</definedName>
    <definedName name="기계b" localSheetId="0">#REF!</definedName>
    <definedName name="기계b">#REF!</definedName>
    <definedName name="기계c" localSheetId="0">#REF!</definedName>
    <definedName name="기계c">#REF!</definedName>
    <definedName name="기계d" localSheetId="0">#REF!</definedName>
    <definedName name="기계d">#REF!</definedName>
    <definedName name="기계e" localSheetId="0">#REF!</definedName>
    <definedName name="기계e">#REF!</definedName>
    <definedName name="기계경비" localSheetId="0">#REF!</definedName>
    <definedName name="기계경비">#REF!</definedName>
    <definedName name="기계계" localSheetId="0">#REF!</definedName>
    <definedName name="기계계">#REF!</definedName>
    <definedName name="김김김" localSheetId="0" hidden="1">{#N/A,#N/A,FALSE,"속도"}</definedName>
    <definedName name="김김김" hidden="1">{#N/A,#N/A,FALSE,"속도"}</definedName>
    <definedName name="김유신" localSheetId="0">#REF!</definedName>
    <definedName name="김유신">#REF!</definedName>
    <definedName name="나ㅏㅓ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남" localSheetId="0" hidden="1">#REF!</definedName>
    <definedName name="남남" hidden="1">#REF!</definedName>
    <definedName name="내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무a" localSheetId="0">#REF!</definedName>
    <definedName name="노무a">#REF!</definedName>
    <definedName name="노무b" localSheetId="0">#REF!</definedName>
    <definedName name="노무b">#REF!</definedName>
    <definedName name="노무c" localSheetId="0">#REF!</definedName>
    <definedName name="노무c">#REF!</definedName>
    <definedName name="노무d" localSheetId="0">#REF!</definedName>
    <definedName name="노무d">#REF!</definedName>
    <definedName name="노무e" localSheetId="0">#REF!</definedName>
    <definedName name="노무e">#REF!</definedName>
    <definedName name="노무계" localSheetId="0">#REF!</definedName>
    <definedName name="노무계">#REF!</definedName>
    <definedName name="노무비" localSheetId="0">#REF!</definedName>
    <definedName name="노무비">#REF!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임" localSheetId="0">#REF!</definedName>
    <definedName name="노임">#REF!</definedName>
    <definedName name="다이너마이트2" localSheetId="0">#REF!</definedName>
    <definedName name="다이너마이트2">#REF!</definedName>
    <definedName name="단가" localSheetId="0">#REF!</definedName>
    <definedName name="단가">#REF!</definedName>
    <definedName name="단가조사자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순공종" localSheetId="0">#REF!</definedName>
    <definedName name="단순공종">#REF!</definedName>
    <definedName name="대경설비" localSheetId="0" hidden="1">#REF!</definedName>
    <definedName name="대경설비" hidden="1">#REF!</definedName>
    <definedName name="대구공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기질" localSheetId="0">#REF!</definedName>
    <definedName name="대기질">#REF!</definedName>
    <definedName name="대기질측정" localSheetId="0">#REF!</definedName>
    <definedName name="대기질측정">#REF!</definedName>
    <definedName name="대안설정" localSheetId="0">#REF!</definedName>
    <definedName name="대안설정">#REF!</definedName>
    <definedName name="덕흥흥건축" localSheetId="0" hidden="1">#REF!</definedName>
    <definedName name="덕흥흥건축" hidden="1">#REF!</definedName>
    <definedName name="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식물상" localSheetId="0">#REF!</definedName>
    <definedName name="동식물상">#REF!</definedName>
    <definedName name="ㄹㄹㄹ" localSheetId="0" hidden="1">#REF!</definedName>
    <definedName name="ㄹㄹㄹ" hidden="1">#REF!</definedName>
    <definedName name="ㄹㄹㅇㄴ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ㄹㅇ" localSheetId="0" hidden="1">#REF!</definedName>
    <definedName name="ㄹㅇㄹㅇ" hidden="1">#REF!</definedName>
    <definedName name="라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localSheetId="0" hidden="1">#REF!</definedName>
    <definedName name="ㅁ" hidden="1">#REF!</definedName>
    <definedName name="ㅁ1" localSheetId="0">#REF!</definedName>
    <definedName name="ㅁ1">#REF!</definedName>
    <definedName name="ㅁ863" localSheetId="0">#REF!</definedName>
    <definedName name="ㅁ863">#REF!</definedName>
    <definedName name="ㅁㅅㅅㅁㄱ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명수" localSheetId="0">#REF!</definedName>
    <definedName name="명수">#REF!</definedName>
    <definedName name="문화재" localSheetId="0">#REF!</definedName>
    <definedName name="문화재">#REF!</definedName>
    <definedName name="물가변동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" localSheetId="0" hidden="1">#REF!</definedName>
    <definedName name="ㅂ" hidden="1">#REF!</definedName>
    <definedName name="ㅂㅂ" localSheetId="0" hidden="1">{#N/A,#N/A,FALSE,"표지"}</definedName>
    <definedName name="ㅂㅂ" hidden="1">{#N/A,#N/A,FALSE,"표지"}</definedName>
    <definedName name="ㅂㅈ" localSheetId="0" hidden="1">{#N/A,#N/A,TRUE,"1";#N/A,#N/A,TRUE,"2";#N/A,#N/A,TRUE,"3";#N/A,#N/A,TRUE,"4";#N/A,#N/A,TRUE,"5";#N/A,#N/A,TRUE,"6";#N/A,#N/A,TRUE,"7"}</definedName>
    <definedName name="ㅂㅈ" hidden="1">{#N/A,#N/A,TRUE,"1";#N/A,#N/A,TRUE,"2";#N/A,#N/A,TRUE,"3";#N/A,#N/A,TRUE,"4";#N/A,#N/A,TRUE,"5";#N/A,#N/A,TRUE,"6";#N/A,#N/A,TRUE,"7"}</definedName>
    <definedName name="박창수" localSheetId="0" hidden="1">{#N/A,#N/A,FALSE,"표지"}</definedName>
    <definedName name="박창수" hidden="1">{#N/A,#N/A,FALSE,"표지"}</definedName>
    <definedName name="백색페인트" localSheetId="0">#REF!</definedName>
    <definedName name="백색페인트">#REF!</definedName>
    <definedName name="보오링그라우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정계수1" localSheetId="0">#REF!</definedName>
    <definedName name="보정계수1">#REF!</definedName>
    <definedName name="보정계수2" localSheetId="0">#REF!</definedName>
    <definedName name="보정계수2">#REF!</definedName>
    <definedName name="보정계수3" localSheetId="0">#REF!</definedName>
    <definedName name="보정계수3">#REF!</definedName>
    <definedName name="보조" localSheetId="0">#REF!</definedName>
    <definedName name="보조">#REF!</definedName>
    <definedName name="보통공종" localSheetId="0">#REF!</definedName>
    <definedName name="보통공종">#REF!</definedName>
    <definedName name="보통인부" localSheetId="0">#REF!</definedName>
    <definedName name="보통인부">#REF!</definedName>
    <definedName name="복잡공종" localSheetId="0">#REF!</definedName>
    <definedName name="복잡공종">#REF!</definedName>
    <definedName name="부대원본" localSheetId="0" hidden="1">{#N/A,#N/A,FALSE,"토공2"}</definedName>
    <definedName name="부대원본" hidden="1">{#N/A,#N/A,FALSE,"토공2"}</definedName>
    <definedName name="부산주경기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비닐전화선" localSheetId="0">#REF!</definedName>
    <definedName name="비닐전화선">#REF!</definedName>
    <definedName name="뿌로마이드" localSheetId="0">#REF!</definedName>
    <definedName name="뿌로마이드">#REF!</definedName>
    <definedName name="ㅅㅅ" localSheetId="0" hidden="1">#REF!</definedName>
    <definedName name="ㅅㅅ" hidden="1">#REF!</definedName>
    <definedName name="ㅅㅅㅆㅆㅆ" localSheetId="0" hidden="1">{#N/A,#N/A,FALSE,"표지"}</definedName>
    <definedName name="ㅅㅅㅆㅆㅆ" hidden="1">{#N/A,#N/A,FALSE,"표지"}</definedName>
    <definedName name="사정" localSheetId="0">#REF!</definedName>
    <definedName name="사정">#REF!</definedName>
    <definedName name="사후환경조사" localSheetId="0">#REF!</definedName>
    <definedName name="사후환경조사">#REF!</definedName>
    <definedName name="산업" localSheetId="0">#REF!</definedName>
    <definedName name="산업">#REF!</definedName>
    <definedName name="삼우설비" localSheetId="0" hidden="1">#REF!</definedName>
    <definedName name="삼우설비" hidden="1">#REF!</definedName>
    <definedName name="선택" localSheetId="0">#REF!</definedName>
    <definedName name="선택">#REF!</definedName>
    <definedName name="설" localSheetId="0" hidden="1">#REF!</definedName>
    <definedName name="설" hidden="1">#REF!</definedName>
    <definedName name="설계규모" localSheetId="0">#REF!</definedName>
    <definedName name="설계규모">#REF!</definedName>
    <definedName name="설변사유" localSheetId="0" hidden="1">{#N/A,#N/A,TRUE,"1";#N/A,#N/A,TRUE,"2";#N/A,#N/A,TRUE,"3";#N/A,#N/A,TRUE,"4";#N/A,#N/A,TRUE,"5";#N/A,#N/A,TRUE,"6";#N/A,#N/A,TRUE,"7"}</definedName>
    <definedName name="설변사유" hidden="1">{#N/A,#N/A,TRUE,"1";#N/A,#N/A,TRUE,"2";#N/A,#N/A,TRUE,"3";#N/A,#N/A,TRUE,"4";#N/A,#N/A,TRUE,"5";#N/A,#N/A,TRUE,"6";#N/A,#N/A,TRUE,"7"}</definedName>
    <definedName name="섹션오일페이퍼" localSheetId="0">#REF!</definedName>
    <definedName name="섹션오일페이퍼">#REF!</definedName>
    <definedName name="소음진동" localSheetId="0">#REF!</definedName>
    <definedName name="소음진동">#REF!</definedName>
    <definedName name="수리수문" localSheetId="0">#REF!</definedName>
    <definedName name="수리수문">#REF!</definedName>
    <definedName name="수질" localSheetId="0">#REF!</definedName>
    <definedName name="수질">#REF!</definedName>
    <definedName name="수질측정" localSheetId="0">#REF!</definedName>
    <definedName name="수질측정">#REF!</definedName>
    <definedName name="순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실행적용임금" localSheetId="0">#REF!</definedName>
    <definedName name="실행적용임금">#REF!</definedName>
    <definedName name="심도조사기계손료" localSheetId="0">#REF!</definedName>
    <definedName name="심도조사기계손료">#REF!</definedName>
    <definedName name="ㅇㄹㄹ" localSheetId="0" hidden="1">#REF!</definedName>
    <definedName name="ㅇㄹㄹ" hidden="1">#REF!</definedName>
    <definedName name="ㅇ라ㅓㅏ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악취" localSheetId="0">#REF!</definedName>
    <definedName name="악취">#REF!</definedName>
    <definedName name="어ㅓ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정공정표4월분" localSheetId="0" hidden="1">{#N/A,#N/A,TRUE,"1";#N/A,#N/A,TRUE,"2";#N/A,#N/A,TRUE,"3";#N/A,#N/A,TRUE,"4";#N/A,#N/A,TRUE,"5";#N/A,#N/A,TRUE,"6";#N/A,#N/A,TRUE,"7"}</definedName>
    <definedName name="예정공정표4월분" hidden="1">{#N/A,#N/A,TRUE,"1";#N/A,#N/A,TRUE,"2";#N/A,#N/A,TRUE,"3";#N/A,#N/A,TRUE,"4";#N/A,#N/A,TRUE,"5";#N/A,#N/A,TRUE,"6";#N/A,#N/A,TRUE,"7"}</definedName>
    <definedName name="오배수" localSheetId="0" hidden="1">{#N/A,#N/A,TRUE,"천상그린44PY"}</definedName>
    <definedName name="오배수" hidden="1">{#N/A,#N/A,TRUE,"천상그린44PY"}</definedName>
    <definedName name="오배수입상" localSheetId="0" hidden="1">{#N/A,#N/A,TRUE,"천상그린44PY"}</definedName>
    <definedName name="오배수입상" hidden="1">{#N/A,#N/A,TRUE,"천상그린44PY"}</definedName>
    <definedName name="오수맨홀수량2" localSheetId="0">#REF!</definedName>
    <definedName name="오수맨홀수량2">#REF!</definedName>
    <definedName name="오수맨홀집계" localSheetId="0">#REF!</definedName>
    <definedName name="오수맨홀집계">#REF!</definedName>
    <definedName name="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완제품a" localSheetId="0">#REF!</definedName>
    <definedName name="완제품a">#REF!</definedName>
    <definedName name="완제품b" localSheetId="0">#REF!</definedName>
    <definedName name="완제품b">#REF!</definedName>
    <definedName name="완제품c" localSheetId="0">#REF!</definedName>
    <definedName name="완제품c">#REF!</definedName>
    <definedName name="완제품d" localSheetId="0">#REF!</definedName>
    <definedName name="완제품d">#REF!</definedName>
    <definedName name="완제품e" localSheetId="0">#REF!</definedName>
    <definedName name="완제품e">#REF!</definedName>
    <definedName name="완제품계" localSheetId="0">#REF!</definedName>
    <definedName name="완제품계">#REF!</definedName>
    <definedName name="완제품비" localSheetId="0">#REF!</definedName>
    <definedName name="완제품비">#REF!</definedName>
    <definedName name="외주의뢰1" localSheetId="0" hidden="1">#REF!</definedName>
    <definedName name="외주의뢰1" hidden="1">#REF!</definedName>
    <definedName name="요약문" localSheetId="0">#REF!</definedName>
    <definedName name="요약문">#REF!</definedName>
    <definedName name="용역개요" localSheetId="0">#REF!</definedName>
    <definedName name="용역개요">#REF!</definedName>
    <definedName name="운반a" localSheetId="0">#REF!</definedName>
    <definedName name="운반a">#REF!</definedName>
    <definedName name="운반b" localSheetId="0">#REF!</definedName>
    <definedName name="운반b">#REF!</definedName>
    <definedName name="운반c" localSheetId="0">#REF!</definedName>
    <definedName name="운반c">#REF!</definedName>
    <definedName name="운반d" localSheetId="0">#REF!</definedName>
    <definedName name="운반d">#REF!</definedName>
    <definedName name="운반e" localSheetId="0">#REF!</definedName>
    <definedName name="운반e">#REF!</definedName>
    <definedName name="운반계" localSheetId="0">#REF!</definedName>
    <definedName name="운반계">#REF!</definedName>
    <definedName name="운반비" localSheetId="0">#REF!</definedName>
    <definedName name="운반비">#REF!</definedName>
    <definedName name="원가계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위락경관" localSheetId="0">#REF!</definedName>
    <definedName name="위락경관">#REF!</definedName>
    <definedName name="위생공중보건" localSheetId="0">#REF!</definedName>
    <definedName name="위생공중보건">#REF!</definedName>
    <definedName name="유관순" localSheetId="0">#REF!</definedName>
    <definedName name="유관순">#REF!</definedName>
    <definedName name="육상동식물" localSheetId="0">#REF!</definedName>
    <definedName name="육상동식물">#REF!</definedName>
    <definedName name="육수동식물" localSheetId="0">#REF!</definedName>
    <definedName name="육수동식물">#REF!</definedName>
    <definedName name="이순신" localSheetId="0">#REF!</definedName>
    <definedName name="이순신">#REF!</definedName>
    <definedName name="이율곡" localSheetId="0">#REF!</definedName>
    <definedName name="이율곡">#REF!</definedName>
    <definedName name="인구" localSheetId="0">#REF!</definedName>
    <definedName name="인구">#REF!</definedName>
    <definedName name="인월수" localSheetId="0">#REF!</definedName>
    <definedName name="인월수">#REF!</definedName>
    <definedName name="인천지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localSheetId="0" hidden="1">#REF!</definedName>
    <definedName name="일" hidden="1">#REF!</definedName>
    <definedName name="일수" localSheetId="0">#REF!</definedName>
    <definedName name="일수">#REF!</definedName>
    <definedName name="일위" localSheetId="0">#REF!</definedName>
    <definedName name="일위">#REF!</definedName>
    <definedName name="일조장해" localSheetId="0">#REF!</definedName>
    <definedName name="일조장해">#REF!</definedName>
    <definedName name="잉크" localSheetId="0">#REF!</definedName>
    <definedName name="잉크">#REF!</definedName>
    <definedName name="자동차OD" localSheetId="0">#REF!</definedName>
    <definedName name="자동차OD">#REF!</definedName>
    <definedName name="자재단가근거" localSheetId="0" hidden="1">#REF!</definedName>
    <definedName name="자재단가근거" hidden="1">#REF!</definedName>
    <definedName name="작은금액인월수_X2" localSheetId="0">#REF!</definedName>
    <definedName name="작은금액인월수_X2">#REF!</definedName>
    <definedName name="재료a" localSheetId="0">#REF!</definedName>
    <definedName name="재료a">#REF!</definedName>
    <definedName name="재료b" localSheetId="0">#REF!</definedName>
    <definedName name="재료b">#REF!</definedName>
    <definedName name="재료c" localSheetId="0">#REF!</definedName>
    <definedName name="재료c">#REF!</definedName>
    <definedName name="재료d" localSheetId="0">#REF!</definedName>
    <definedName name="재료d">#REF!</definedName>
    <definedName name="재료e" localSheetId="0">#REF!</definedName>
    <definedName name="재료e">#REF!</definedName>
    <definedName name="재료계" localSheetId="0">#REF!</definedName>
    <definedName name="재료계">#REF!</definedName>
    <definedName name="재료비" localSheetId="0">#REF!</definedName>
    <definedName name="재료비">#REF!</definedName>
    <definedName name="저감방안수립" localSheetId="0">#REF!</definedName>
    <definedName name="저감방안수립">#REF!</definedName>
    <definedName name="적용임금" localSheetId="0">#REF!</definedName>
    <definedName name="적용임금">#REF!</definedName>
    <definedName name="전기" localSheetId="0" hidden="1">#REF!</definedName>
    <definedName name="전기" hidden="1">#REF!</definedName>
    <definedName name="전기공사" localSheetId="0" hidden="1">#REF!</definedName>
    <definedName name="전기공사" hidden="1">#REF!</definedName>
    <definedName name="전파장해" localSheetId="0">#REF!</definedName>
    <definedName name="전파장해">#REF!</definedName>
    <definedName name="제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평가" localSheetId="0">#REF!</definedName>
    <definedName name="종합평가">#REF!</definedName>
    <definedName name="주거" localSheetId="0">#REF!</definedName>
    <definedName name="주거">#REF!</definedName>
    <definedName name="주민의견수렴" localSheetId="0">#REF!</definedName>
    <definedName name="주민의견수렴">#REF!</definedName>
    <definedName name="중급" localSheetId="0">#REF!</definedName>
    <definedName name="중급">#REF!</definedName>
    <definedName name="중급기능사" localSheetId="0">#REF!</definedName>
    <definedName name="중급기능사">#REF!</definedName>
    <definedName name="중급기술자" localSheetId="0">#REF!</definedName>
    <definedName name="중급기술자">#REF!</definedName>
    <definedName name="지구단위" localSheetId="0">#REF!</definedName>
    <definedName name="지구단위">#REF!</definedName>
    <definedName name="초급" localSheetId="0">#REF!</definedName>
    <definedName name="초급">#REF!</definedName>
    <definedName name="초급엔지니어링" localSheetId="0">#REF!</definedName>
    <definedName name="초급엔지니어링">#REF!</definedName>
    <definedName name="총공" localSheetId="0" hidden="1">{#N/A,#N/A,FALSE,"운반시간"}</definedName>
    <definedName name="총공" hidden="1">{#N/A,#N/A,FALSE,"운반시간"}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코딩" localSheetId="0">#REF!</definedName>
    <definedName name="코딩">#REF!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양" localSheetId="0">#REF!</definedName>
    <definedName name="토양">#REF!</definedName>
    <definedName name="토적표" localSheetId="0" hidden="1">#REF!</definedName>
    <definedName name="토적표" hidden="1">#REF!</definedName>
    <definedName name="토지이용" localSheetId="0">#REF!</definedName>
    <definedName name="토지이용">#REF!</definedName>
    <definedName name="특급" localSheetId="0">#REF!</definedName>
    <definedName name="특급">#REF!</definedName>
    <definedName name="특별인부" localSheetId="0">#REF!</definedName>
    <definedName name="특별인부">#REF!</definedName>
    <definedName name="파카손료" localSheetId="0">#REF!</definedName>
    <definedName name="파카손료">#REF!</definedName>
    <definedName name="평균" localSheetId="0">#REF!</definedName>
    <definedName name="평균">#REF!</definedName>
    <definedName name="폐기물" localSheetId="0">#REF!</definedName>
    <definedName name="폐기물">#REF!</definedName>
    <definedName name="표지2" localSheetId="0" hidden="1">{#N/A,#N/A,FALSE,"단가표지"}</definedName>
    <definedName name="표지2" hidden="1">{#N/A,#N/A,FALSE,"단가표지"}</definedName>
    <definedName name="품_______명" localSheetId="0">#REF!</definedName>
    <definedName name="품_______명">#REF!</definedName>
    <definedName name="ㅎㅎㅎ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전" localSheetId="0" hidden="1">#REF!</definedName>
    <definedName name="한전" hidden="1">#REF!</definedName>
    <definedName name="합계" localSheetId="0">#REF!</definedName>
    <definedName name="합계">#REF!</definedName>
    <definedName name="항목1" localSheetId="0">#REF!</definedName>
    <definedName name="항목1">#REF!</definedName>
    <definedName name="항목2" localSheetId="0">#REF!</definedName>
    <definedName name="항목2">#REF!</definedName>
    <definedName name="항목3" localSheetId="0">#REF!</definedName>
    <definedName name="항목3">#REF!</definedName>
    <definedName name="항목4" localSheetId="0">#REF!</definedName>
    <definedName name="항목4">#REF!</definedName>
    <definedName name="항목5" localSheetId="0">#REF!</definedName>
    <definedName name="항목5">#REF!</definedName>
    <definedName name="항목6" localSheetId="0">#REF!</definedName>
    <definedName name="항목6">#REF!</definedName>
    <definedName name="허균" localSheetId="0">#REF!</definedName>
    <definedName name="허균">#REF!</definedName>
    <definedName name="현장정착액" localSheetId="0">#REF!</definedName>
    <definedName name="현장정착액">#REF!</definedName>
    <definedName name="환경개요" localSheetId="0">#REF!</definedName>
    <definedName name="환경개요">#REF!</definedName>
    <definedName name="환경규모" localSheetId="0">#REF!</definedName>
    <definedName name="환경규모">#REF!</definedName>
    <definedName name="횟수" localSheetId="0">#REF!</definedName>
    <definedName name="횟수">#REF!</definedName>
    <definedName name="ㅏㅏㅏ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ㅛ" localSheetId="0" hidden="1">#REF!</definedName>
    <definedName name="ㅛㅛㅛㅛ" hidden="1">#REF!</definedName>
    <definedName name="ㅜ" localSheetId="0" hidden="1">#REF!</definedName>
    <definedName name="ㅜ" hidden="1">#REF!</definedName>
    <definedName name="ㅣㅏ아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</definedNames>
  <calcPr calcId="162913"/>
</workbook>
</file>

<file path=xl/calcChain.xml><?xml version="1.0" encoding="utf-8"?>
<calcChain xmlns="http://schemas.openxmlformats.org/spreadsheetml/2006/main">
  <c r="C2" i="16" l="1"/>
  <c r="E33" i="16"/>
  <c r="E31" i="16"/>
  <c r="E9" i="16"/>
  <c r="I6" i="11"/>
  <c r="L6" i="11"/>
  <c r="N6" i="11"/>
  <c r="I7" i="11"/>
  <c r="L7" i="11"/>
  <c r="N7" i="11"/>
  <c r="P7" i="11"/>
  <c r="I8" i="11"/>
  <c r="P8" i="11" s="1"/>
  <c r="L8" i="11"/>
  <c r="N8" i="11"/>
  <c r="I9" i="11"/>
  <c r="L9" i="11"/>
  <c r="N9" i="11"/>
  <c r="I10" i="11"/>
  <c r="L10" i="11"/>
  <c r="N10" i="11"/>
  <c r="P10" i="11"/>
  <c r="I11" i="11"/>
  <c r="P11" i="11" s="1"/>
  <c r="L11" i="11"/>
  <c r="N11" i="11"/>
  <c r="I12" i="11"/>
  <c r="L12" i="11"/>
  <c r="N12" i="11"/>
  <c r="I13" i="11"/>
  <c r="L13" i="11"/>
  <c r="N13" i="11"/>
  <c r="P13" i="11"/>
  <c r="I14" i="11"/>
  <c r="L14" i="11"/>
  <c r="P14" i="11" s="1"/>
  <c r="N14" i="11"/>
  <c r="I15" i="11"/>
  <c r="P15" i="11" s="1"/>
  <c r="L15" i="11"/>
  <c r="N15" i="11"/>
  <c r="I16" i="11"/>
  <c r="L16" i="11"/>
  <c r="N16" i="11"/>
  <c r="P16" i="11"/>
  <c r="I17" i="11"/>
  <c r="L17" i="11"/>
  <c r="P17" i="11" s="1"/>
  <c r="N17" i="11"/>
  <c r="I18" i="11"/>
  <c r="P18" i="11" s="1"/>
  <c r="L18" i="11"/>
  <c r="N18" i="11"/>
  <c r="I19" i="11"/>
  <c r="L19" i="11"/>
  <c r="N19" i="11"/>
  <c r="P19" i="11"/>
  <c r="I20" i="11"/>
  <c r="L20" i="11"/>
  <c r="P20" i="11" s="1"/>
  <c r="N20" i="11"/>
  <c r="I21" i="11"/>
  <c r="L21" i="11"/>
  <c r="N21" i="11"/>
  <c r="I22" i="11"/>
  <c r="L22" i="11"/>
  <c r="N22" i="11"/>
  <c r="P22" i="11"/>
  <c r="I23" i="11"/>
  <c r="L23" i="11"/>
  <c r="P23" i="11" s="1"/>
  <c r="N23" i="11"/>
  <c r="I24" i="11"/>
  <c r="L24" i="11"/>
  <c r="N24" i="11"/>
  <c r="I25" i="11"/>
  <c r="L25" i="11"/>
  <c r="N25" i="11"/>
  <c r="P25" i="11"/>
  <c r="I26" i="11"/>
  <c r="L26" i="11"/>
  <c r="P26" i="11" s="1"/>
  <c r="N26" i="11"/>
  <c r="I27" i="11"/>
  <c r="L27" i="11"/>
  <c r="N27" i="11"/>
  <c r="I28" i="11"/>
  <c r="L28" i="11"/>
  <c r="N28" i="11"/>
  <c r="P28" i="11"/>
  <c r="I32" i="11"/>
  <c r="L32" i="11"/>
  <c r="N32" i="11"/>
  <c r="P32" i="11"/>
  <c r="I33" i="11"/>
  <c r="L33" i="11"/>
  <c r="P33" i="11" s="1"/>
  <c r="N33" i="11"/>
  <c r="I34" i="11"/>
  <c r="L34" i="11"/>
  <c r="N34" i="11"/>
  <c r="I35" i="11"/>
  <c r="L35" i="11"/>
  <c r="N35" i="11"/>
  <c r="P35" i="11"/>
  <c r="I36" i="11"/>
  <c r="L36" i="11"/>
  <c r="P36" i="11" s="1"/>
  <c r="N36" i="11"/>
  <c r="I37" i="11"/>
  <c r="P37" i="11" s="1"/>
  <c r="L37" i="11"/>
  <c r="N37" i="11"/>
  <c r="I38" i="11"/>
  <c r="L38" i="11"/>
  <c r="N38" i="11"/>
  <c r="P38" i="11"/>
  <c r="I39" i="11"/>
  <c r="L39" i="11"/>
  <c r="P39" i="11" s="1"/>
  <c r="N39" i="11"/>
  <c r="I40" i="11"/>
  <c r="L40" i="11"/>
  <c r="N40" i="11"/>
  <c r="I41" i="11"/>
  <c r="L41" i="11"/>
  <c r="N41" i="11"/>
  <c r="P41" i="11"/>
  <c r="I42" i="11"/>
  <c r="L42" i="11"/>
  <c r="P42" i="11" s="1"/>
  <c r="N42" i="11"/>
  <c r="I43" i="11"/>
  <c r="L43" i="11"/>
  <c r="P43" i="11" s="1"/>
  <c r="N43" i="11"/>
  <c r="I44" i="11"/>
  <c r="L44" i="11"/>
  <c r="N44" i="11"/>
  <c r="P44" i="11"/>
  <c r="I45" i="11"/>
  <c r="L45" i="11"/>
  <c r="P45" i="11" s="1"/>
  <c r="N45" i="11"/>
  <c r="I46" i="11"/>
  <c r="L46" i="11"/>
  <c r="P46" i="11" s="1"/>
  <c r="N46" i="11"/>
  <c r="I47" i="11"/>
  <c r="L47" i="11"/>
  <c r="N47" i="11"/>
  <c r="P47" i="11"/>
  <c r="I48" i="11"/>
  <c r="L48" i="11"/>
  <c r="P48" i="11" s="1"/>
  <c r="N48" i="11"/>
  <c r="I49" i="11"/>
  <c r="L49" i="11"/>
  <c r="P49" i="11" s="1"/>
  <c r="N49" i="11"/>
  <c r="I50" i="11"/>
  <c r="L50" i="11"/>
  <c r="N50" i="11"/>
  <c r="P50" i="11"/>
  <c r="I51" i="11"/>
  <c r="L51" i="11"/>
  <c r="P51" i="11" s="1"/>
  <c r="N51" i="11"/>
  <c r="I52" i="11"/>
  <c r="L52" i="11"/>
  <c r="P52" i="11" s="1"/>
  <c r="N52" i="11"/>
  <c r="I53" i="11"/>
  <c r="L53" i="11"/>
  <c r="N53" i="11"/>
  <c r="P53" i="11"/>
  <c r="I54" i="11"/>
  <c r="L54" i="11"/>
  <c r="N54" i="11"/>
  <c r="P54" i="11"/>
  <c r="I62" i="11"/>
  <c r="P62" i="11" s="1"/>
  <c r="L62" i="11"/>
  <c r="N62" i="11"/>
  <c r="I63" i="11"/>
  <c r="L63" i="11"/>
  <c r="N63" i="11"/>
  <c r="P63" i="11"/>
  <c r="I64" i="11"/>
  <c r="L64" i="11"/>
  <c r="N64" i="11"/>
  <c r="I65" i="11"/>
  <c r="P65" i="11" s="1"/>
  <c r="L65" i="11"/>
  <c r="N65" i="11"/>
  <c r="I66" i="11"/>
  <c r="L66" i="11"/>
  <c r="N66" i="11"/>
  <c r="P66" i="11"/>
  <c r="I67" i="11"/>
  <c r="L67" i="11"/>
  <c r="N67" i="11"/>
  <c r="I68" i="11"/>
  <c r="P68" i="11" s="1"/>
  <c r="L68" i="11"/>
  <c r="N68" i="11"/>
  <c r="I69" i="11"/>
  <c r="L69" i="11"/>
  <c r="N69" i="11"/>
  <c r="P69" i="11"/>
  <c r="I70" i="11"/>
  <c r="L70" i="11"/>
  <c r="N70" i="11"/>
  <c r="I71" i="11"/>
  <c r="P71" i="11" s="1"/>
  <c r="L71" i="11"/>
  <c r="N71" i="11"/>
  <c r="I72" i="11"/>
  <c r="L72" i="11"/>
  <c r="N72" i="11"/>
  <c r="P72" i="11"/>
  <c r="I73" i="11"/>
  <c r="P73" i="11" s="1"/>
  <c r="L73" i="11"/>
  <c r="N73" i="11"/>
  <c r="I74" i="11"/>
  <c r="P74" i="11" s="1"/>
  <c r="L74" i="11"/>
  <c r="N74" i="11"/>
  <c r="I75" i="11"/>
  <c r="L75" i="11"/>
  <c r="N75" i="11"/>
  <c r="P75" i="11"/>
  <c r="I76" i="11"/>
  <c r="L76" i="11"/>
  <c r="N76" i="11"/>
  <c r="I77" i="11"/>
  <c r="P77" i="11" s="1"/>
  <c r="L77" i="11"/>
  <c r="N77" i="11"/>
  <c r="I78" i="11"/>
  <c r="L78" i="11"/>
  <c r="N78" i="11"/>
  <c r="P78" i="11"/>
  <c r="I79" i="11"/>
  <c r="L79" i="11"/>
  <c r="N79" i="11"/>
  <c r="I80" i="11"/>
  <c r="P80" i="11" s="1"/>
  <c r="L80" i="11"/>
  <c r="N80" i="11"/>
  <c r="I84" i="11"/>
  <c r="L84" i="11"/>
  <c r="N84" i="11"/>
  <c r="P84" i="11"/>
  <c r="I85" i="11"/>
  <c r="L85" i="11"/>
  <c r="N85" i="11"/>
  <c r="P85" i="11"/>
  <c r="I86" i="11"/>
  <c r="P86" i="11" s="1"/>
  <c r="L86" i="11"/>
  <c r="N86" i="11"/>
  <c r="I87" i="11"/>
  <c r="L87" i="11"/>
  <c r="N87" i="11"/>
  <c r="P87" i="11"/>
  <c r="I88" i="11"/>
  <c r="L88" i="11"/>
  <c r="N88" i="11"/>
  <c r="P88" i="11"/>
  <c r="I89" i="11"/>
  <c r="P89" i="11" s="1"/>
  <c r="L89" i="11"/>
  <c r="N89" i="11"/>
  <c r="I90" i="11"/>
  <c r="L90" i="11"/>
  <c r="N90" i="11"/>
  <c r="P90" i="11"/>
  <c r="I91" i="11"/>
  <c r="L91" i="11"/>
  <c r="N91" i="11"/>
  <c r="P91" i="11"/>
  <c r="I92" i="11"/>
  <c r="P92" i="11" s="1"/>
  <c r="L92" i="11"/>
  <c r="N92" i="11"/>
  <c r="I93" i="11"/>
  <c r="L93" i="11"/>
  <c r="N93" i="11"/>
  <c r="P93" i="11"/>
  <c r="I94" i="11"/>
  <c r="L94" i="11"/>
  <c r="N94" i="11"/>
  <c r="P94" i="11"/>
  <c r="I95" i="11"/>
  <c r="P95" i="11" s="1"/>
  <c r="L95" i="11"/>
  <c r="N95" i="11"/>
  <c r="I96" i="11"/>
  <c r="L96" i="11"/>
  <c r="N96" i="11"/>
  <c r="P96" i="11"/>
  <c r="I97" i="11"/>
  <c r="L97" i="11"/>
  <c r="N97" i="11"/>
  <c r="P97" i="11"/>
  <c r="I98" i="11"/>
  <c r="P98" i="11" s="1"/>
  <c r="L98" i="11"/>
  <c r="N98" i="11"/>
  <c r="I99" i="11"/>
  <c r="L99" i="11"/>
  <c r="N99" i="11"/>
  <c r="P99" i="11"/>
  <c r="I100" i="11"/>
  <c r="L100" i="11"/>
  <c r="N100" i="11"/>
  <c r="P100" i="11"/>
  <c r="I101" i="11"/>
  <c r="P101" i="11" s="1"/>
  <c r="L101" i="11"/>
  <c r="N101" i="11"/>
  <c r="I102" i="11"/>
  <c r="L102" i="11"/>
  <c r="N102" i="11"/>
  <c r="P102" i="11"/>
  <c r="I103" i="11"/>
  <c r="L103" i="11"/>
  <c r="N103" i="11"/>
  <c r="P103" i="11"/>
  <c r="I104" i="11"/>
  <c r="P104" i="11" s="1"/>
  <c r="L104" i="11"/>
  <c r="N104" i="11"/>
  <c r="I105" i="11"/>
  <c r="L105" i="11"/>
  <c r="N105" i="11"/>
  <c r="P105" i="11"/>
  <c r="I106" i="11"/>
  <c r="L106" i="11"/>
  <c r="N106" i="11"/>
  <c r="P106" i="11"/>
  <c r="AE164" i="10"/>
  <c r="AE141" i="10"/>
  <c r="AE121" i="10"/>
  <c r="AE103" i="10"/>
  <c r="AE57" i="10"/>
  <c r="AE16" i="10"/>
  <c r="I24" i="10"/>
  <c r="L24" i="10"/>
  <c r="N24" i="10"/>
  <c r="P24" i="10"/>
  <c r="I25" i="10"/>
  <c r="L25" i="10"/>
  <c r="N25" i="10"/>
  <c r="P25" i="10"/>
  <c r="I26" i="10"/>
  <c r="P26" i="10" s="1"/>
  <c r="L26" i="10"/>
  <c r="N26" i="10"/>
  <c r="I27" i="10"/>
  <c r="L27" i="10"/>
  <c r="N27" i="10"/>
  <c r="P27" i="10" s="1"/>
  <c r="I28" i="10"/>
  <c r="L28" i="10"/>
  <c r="N28" i="10"/>
  <c r="P28" i="10"/>
  <c r="I79" i="10"/>
  <c r="L79" i="10"/>
  <c r="P79" i="10" s="1"/>
  <c r="N79" i="10"/>
  <c r="I80" i="10"/>
  <c r="L80" i="10"/>
  <c r="N80" i="10"/>
  <c r="P80" i="10"/>
  <c r="I106" i="10"/>
  <c r="L106" i="10"/>
  <c r="N106" i="10"/>
  <c r="P106" i="10"/>
  <c r="I127" i="10"/>
  <c r="P127" i="10" s="1"/>
  <c r="L127" i="10"/>
  <c r="N127" i="10"/>
  <c r="I128" i="10"/>
  <c r="L128" i="10"/>
  <c r="N128" i="10"/>
  <c r="I129" i="10"/>
  <c r="P129" i="10" s="1"/>
  <c r="L129" i="10"/>
  <c r="N129" i="10"/>
  <c r="I130" i="10"/>
  <c r="P130" i="10" s="1"/>
  <c r="L130" i="10"/>
  <c r="N130" i="10"/>
  <c r="I131" i="10"/>
  <c r="L131" i="10"/>
  <c r="N131" i="10"/>
  <c r="I132" i="10"/>
  <c r="P132" i="10" s="1"/>
  <c r="L132" i="10"/>
  <c r="N132" i="10"/>
  <c r="I146" i="10"/>
  <c r="L146" i="10"/>
  <c r="N146" i="10"/>
  <c r="P146" i="10"/>
  <c r="I147" i="10"/>
  <c r="L147" i="10"/>
  <c r="N147" i="10"/>
  <c r="I148" i="10"/>
  <c r="P148" i="10" s="1"/>
  <c r="L148" i="10"/>
  <c r="N148" i="10"/>
  <c r="I149" i="10"/>
  <c r="L149" i="10"/>
  <c r="N149" i="10"/>
  <c r="P149" i="10"/>
  <c r="I150" i="10"/>
  <c r="L150" i="10"/>
  <c r="N150" i="10"/>
  <c r="I151" i="10"/>
  <c r="P151" i="10" s="1"/>
  <c r="L151" i="10"/>
  <c r="N151" i="10"/>
  <c r="I152" i="10"/>
  <c r="L152" i="10"/>
  <c r="N152" i="10"/>
  <c r="P152" i="10"/>
  <c r="I153" i="10"/>
  <c r="L153" i="10"/>
  <c r="N153" i="10"/>
  <c r="P153" i="10" s="1"/>
  <c r="I154" i="10"/>
  <c r="P154" i="10" s="1"/>
  <c r="L154" i="10"/>
  <c r="N154" i="10"/>
  <c r="I155" i="10"/>
  <c r="L155" i="10"/>
  <c r="N155" i="10"/>
  <c r="P155" i="10"/>
  <c r="I156" i="10"/>
  <c r="L156" i="10"/>
  <c r="N156" i="10"/>
  <c r="P156" i="10" s="1"/>
  <c r="I157" i="10"/>
  <c r="P157" i="10" s="1"/>
  <c r="L157" i="10"/>
  <c r="N157" i="10"/>
  <c r="I158" i="10"/>
  <c r="L158" i="10"/>
  <c r="N158" i="10"/>
  <c r="P158" i="10"/>
  <c r="I173" i="10"/>
  <c r="P173" i="10" s="1"/>
  <c r="L173" i="10"/>
  <c r="N173" i="10"/>
  <c r="I174" i="10"/>
  <c r="L174" i="10"/>
  <c r="N174" i="10"/>
  <c r="P174" i="10"/>
  <c r="I175" i="10"/>
  <c r="L175" i="10"/>
  <c r="N175" i="10"/>
  <c r="P175" i="10" s="1"/>
  <c r="I176" i="10"/>
  <c r="P176" i="10" s="1"/>
  <c r="L176" i="10"/>
  <c r="N176" i="10"/>
  <c r="I177" i="10"/>
  <c r="L177" i="10"/>
  <c r="L185" i="10" s="1"/>
  <c r="K83" i="11" s="1"/>
  <c r="L83" i="11" s="1"/>
  <c r="L107" i="11" s="1"/>
  <c r="N177" i="10"/>
  <c r="P177" i="10"/>
  <c r="I178" i="10"/>
  <c r="L178" i="10"/>
  <c r="N178" i="10"/>
  <c r="P178" i="10" s="1"/>
  <c r="I179" i="10"/>
  <c r="P179" i="10" s="1"/>
  <c r="L179" i="10"/>
  <c r="N179" i="10"/>
  <c r="I180" i="10"/>
  <c r="L180" i="10"/>
  <c r="N180" i="10"/>
  <c r="P180" i="10"/>
  <c r="I181" i="10"/>
  <c r="L181" i="10"/>
  <c r="N181" i="10"/>
  <c r="P181" i="10" s="1"/>
  <c r="I182" i="10"/>
  <c r="P182" i="10" s="1"/>
  <c r="L182" i="10"/>
  <c r="N182" i="10"/>
  <c r="I183" i="10"/>
  <c r="L183" i="10"/>
  <c r="N183" i="10"/>
  <c r="P183" i="10"/>
  <c r="I184" i="10"/>
  <c r="L184" i="10"/>
  <c r="N184" i="10"/>
  <c r="P184" i="10" s="1"/>
  <c r="I185" i="10"/>
  <c r="H83" i="11" s="1"/>
  <c r="I83" i="11" s="1"/>
  <c r="H4" i="6"/>
  <c r="H5" i="6"/>
  <c r="L5" i="6"/>
  <c r="H6" i="6"/>
  <c r="L6" i="6"/>
  <c r="H7" i="6"/>
  <c r="L7" i="6" s="1"/>
  <c r="H8" i="6"/>
  <c r="L8" i="6"/>
  <c r="H9" i="6"/>
  <c r="L9" i="6"/>
  <c r="H10" i="6"/>
  <c r="H11" i="6"/>
  <c r="L11" i="6"/>
  <c r="H12" i="6"/>
  <c r="H13" i="6"/>
  <c r="L13" i="6" s="1"/>
  <c r="H14" i="6"/>
  <c r="L14" i="6" s="1"/>
  <c r="H15" i="6"/>
  <c r="L15" i="6" s="1"/>
  <c r="H16" i="6"/>
  <c r="H17" i="6"/>
  <c r="H18" i="6"/>
  <c r="H19" i="6"/>
  <c r="H20" i="6"/>
  <c r="L20" i="6"/>
  <c r="H21" i="6"/>
  <c r="L21" i="6" s="1"/>
  <c r="H22" i="6"/>
  <c r="H23" i="6"/>
  <c r="H24" i="6"/>
  <c r="H25" i="6"/>
  <c r="H26" i="6"/>
  <c r="L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L41" i="6" s="1"/>
  <c r="H42" i="6"/>
  <c r="L42" i="6" s="1"/>
  <c r="H43" i="6"/>
  <c r="L43" i="6" s="1"/>
  <c r="H44" i="6"/>
  <c r="L44" i="6" s="1"/>
  <c r="H45" i="6"/>
  <c r="L45" i="6" s="1"/>
  <c r="H46" i="6"/>
  <c r="H47" i="6"/>
  <c r="H48" i="6"/>
  <c r="H49" i="6"/>
  <c r="L49" i="6" s="1"/>
  <c r="H50" i="6"/>
  <c r="H51" i="6"/>
  <c r="H52" i="6"/>
  <c r="H53" i="6"/>
  <c r="H54" i="6"/>
  <c r="H55" i="6"/>
  <c r="L55" i="6"/>
  <c r="H56" i="6"/>
  <c r="L56" i="6" s="1"/>
  <c r="H57" i="6"/>
  <c r="H58" i="6"/>
  <c r="H59" i="6"/>
  <c r="H60" i="6"/>
  <c r="H61" i="6"/>
  <c r="L61" i="6"/>
  <c r="H62" i="6"/>
  <c r="H63" i="6"/>
  <c r="H64" i="6"/>
  <c r="L64" i="6" s="1"/>
  <c r="H65" i="6"/>
  <c r="L65" i="6" s="1"/>
  <c r="H66" i="6"/>
  <c r="L66" i="6" s="1"/>
  <c r="I67" i="6"/>
  <c r="L67" i="6" s="1"/>
  <c r="I68" i="6"/>
  <c r="L68" i="6" s="1"/>
  <c r="I69" i="6"/>
  <c r="L70" i="6"/>
  <c r="L71" i="6"/>
  <c r="L72" i="6"/>
  <c r="L73" i="6"/>
  <c r="L74" i="6"/>
  <c r="L75" i="6"/>
  <c r="L76" i="6"/>
  <c r="L77" i="6"/>
  <c r="L78" i="6"/>
  <c r="L79" i="6"/>
  <c r="L80" i="6"/>
  <c r="L81" i="6"/>
  <c r="AE3" i="10"/>
  <c r="AD3" i="10"/>
  <c r="L69" i="6" l="1"/>
  <c r="L63" i="6"/>
  <c r="L57" i="6"/>
  <c r="L51" i="6"/>
  <c r="L39" i="6"/>
  <c r="L33" i="6"/>
  <c r="L27" i="6"/>
  <c r="L62" i="6"/>
  <c r="L50" i="6"/>
  <c r="L38" i="6"/>
  <c r="L32" i="6"/>
  <c r="L37" i="6"/>
  <c r="L31" i="6"/>
  <c r="L25" i="6"/>
  <c r="L19" i="6"/>
  <c r="L60" i="6"/>
  <c r="L54" i="6"/>
  <c r="L48" i="6"/>
  <c r="L36" i="6"/>
  <c r="L30" i="6"/>
  <c r="L24" i="6"/>
  <c r="L18" i="6"/>
  <c r="L12" i="6"/>
  <c r="L59" i="6"/>
  <c r="L53" i="6"/>
  <c r="L47" i="6"/>
  <c r="L35" i="6"/>
  <c r="L29" i="6"/>
  <c r="L23" i="6"/>
  <c r="L17" i="6"/>
  <c r="L58" i="6"/>
  <c r="L52" i="6"/>
  <c r="L46" i="6"/>
  <c r="L40" i="6"/>
  <c r="L34" i="6"/>
  <c r="L28" i="6"/>
  <c r="L22" i="6"/>
  <c r="L16" i="6"/>
  <c r="L10" i="6"/>
  <c r="L4" i="6"/>
  <c r="K31" i="11"/>
  <c r="L31" i="11" s="1"/>
  <c r="L55" i="11" s="1"/>
  <c r="P76" i="11"/>
  <c r="P21" i="11"/>
  <c r="P79" i="11"/>
  <c r="P34" i="11"/>
  <c r="N185" i="10"/>
  <c r="M83" i="11" s="1"/>
  <c r="N83" i="11" s="1"/>
  <c r="N107" i="11" s="1"/>
  <c r="P24" i="11"/>
  <c r="P6" i="11"/>
  <c r="P147" i="10"/>
  <c r="P128" i="10"/>
  <c r="P64" i="11"/>
  <c r="I107" i="11"/>
  <c r="P27" i="11"/>
  <c r="P9" i="11"/>
  <c r="P150" i="10"/>
  <c r="P67" i="11"/>
  <c r="P40" i="11"/>
  <c r="P131" i="10"/>
  <c r="P12" i="11"/>
  <c r="P185" i="10"/>
  <c r="P70" i="11"/>
  <c r="M31" i="11" l="1"/>
  <c r="N31" i="11" s="1"/>
  <c r="N55" i="11" s="1"/>
  <c r="P83" i="11"/>
  <c r="P107" i="11" s="1"/>
  <c r="H31" i="11"/>
  <c r="I31" i="11" s="1"/>
  <c r="P31" i="11" l="1"/>
  <c r="P55" i="11" s="1"/>
  <c r="I55" i="11"/>
  <c r="N107" i="10" l="1"/>
  <c r="M59" i="11" s="1"/>
  <c r="N59" i="11" s="1"/>
  <c r="N159" i="10"/>
  <c r="M61" i="11" s="1"/>
  <c r="N61" i="11" s="1"/>
  <c r="N29" i="10"/>
  <c r="M57" i="11" s="1"/>
  <c r="N57" i="11" s="1"/>
  <c r="N133" i="10"/>
  <c r="M60" i="11" s="1"/>
  <c r="N60" i="11" s="1"/>
  <c r="L159" i="10" l="1"/>
  <c r="K61" i="11" s="1"/>
  <c r="L61" i="11" s="1"/>
  <c r="L107" i="10"/>
  <c r="K59" i="11" s="1"/>
  <c r="L59" i="11" s="1"/>
  <c r="L29" i="10"/>
  <c r="K57" i="11" s="1"/>
  <c r="L57" i="11" s="1"/>
  <c r="L133" i="10"/>
  <c r="K60" i="11" s="1"/>
  <c r="L60" i="11" s="1"/>
  <c r="N81" i="10"/>
  <c r="M58" i="11" s="1"/>
  <c r="N58" i="11" s="1"/>
  <c r="N81" i="11" s="1"/>
  <c r="M5" i="11" s="1"/>
  <c r="N5" i="11" s="1"/>
  <c r="N29" i="11" s="1"/>
  <c r="AC110" i="10" l="1"/>
  <c r="L81" i="10"/>
  <c r="K58" i="11" s="1"/>
  <c r="L58" i="11" s="1"/>
  <c r="L81" i="11" s="1"/>
  <c r="K5" i="11" s="1"/>
  <c r="L5" i="11" s="1"/>
  <c r="L29" i="11" s="1"/>
  <c r="AC47" i="10" l="1"/>
  <c r="AC36" i="10"/>
  <c r="AC13" i="10"/>
  <c r="AA83" i="10"/>
  <c r="AC83" i="10"/>
  <c r="AC99" i="10"/>
  <c r="AA109" i="10"/>
  <c r="AC109" i="10"/>
  <c r="AC14" i="10"/>
  <c r="AA84" i="10" l="1"/>
  <c r="AC84" i="10"/>
  <c r="AC112" i="10"/>
  <c r="AC118" i="10"/>
  <c r="P159" i="10"/>
  <c r="I159" i="10"/>
  <c r="H61" i="11" s="1"/>
  <c r="I61" i="11" s="1"/>
  <c r="P61" i="11" s="1"/>
  <c r="AC97" i="10"/>
  <c r="AC87" i="10"/>
  <c r="AC6" i="10"/>
  <c r="AC35" i="10"/>
  <c r="AC116" i="10"/>
  <c r="AA31" i="10"/>
  <c r="AC31" i="10"/>
  <c r="AA32" i="10" l="1"/>
  <c r="AC32" i="10"/>
  <c r="AC98" i="10"/>
  <c r="AC88" i="10"/>
  <c r="I81" i="10"/>
  <c r="H58" i="11" s="1"/>
  <c r="I58" i="11" s="1"/>
  <c r="P58" i="11" s="1"/>
  <c r="P29" i="10"/>
  <c r="I29" i="10"/>
  <c r="H57" i="11" s="1"/>
  <c r="I57" i="11" s="1"/>
  <c r="AC117" i="10"/>
  <c r="P81" i="10" l="1"/>
  <c r="P133" i="10"/>
  <c r="I133" i="10"/>
  <c r="H60" i="11" s="1"/>
  <c r="I60" i="11" s="1"/>
  <c r="P60" i="11" s="1"/>
  <c r="P57" i="11"/>
  <c r="P107" i="10"/>
  <c r="I107" i="10"/>
  <c r="H59" i="11" s="1"/>
  <c r="I59" i="11" s="1"/>
  <c r="P59" i="11" s="1"/>
  <c r="P81" i="11" l="1"/>
  <c r="I81" i="11"/>
  <c r="H5" i="11" s="1"/>
  <c r="I5" i="11" s="1"/>
  <c r="I29" i="11" l="1"/>
  <c r="P5" i="11"/>
  <c r="P29" i="11" s="1"/>
  <c r="G24" i="16" l="1"/>
  <c r="G23" i="16"/>
</calcChain>
</file>

<file path=xl/sharedStrings.xml><?xml version="1.0" encoding="utf-8"?>
<sst xmlns="http://schemas.openxmlformats.org/spreadsheetml/2006/main" count="1020" uniqueCount="493">
  <si>
    <t>단위</t>
    <phoneticPr fontId="2" type="noConversion"/>
  </si>
  <si>
    <t>수량</t>
    <phoneticPr fontId="2" type="noConversion"/>
  </si>
  <si>
    <t xml:space="preserve"> </t>
    <phoneticPr fontId="2" type="noConversion"/>
  </si>
  <si>
    <t>계</t>
    <phoneticPr fontId="2" type="noConversion"/>
  </si>
  <si>
    <t>코드</t>
    <phoneticPr fontId="2" type="noConversion"/>
  </si>
  <si>
    <t>코드</t>
    <phoneticPr fontId="2" type="noConversion"/>
  </si>
  <si>
    <t>공종코드</t>
    <phoneticPr fontId="2" type="noConversion"/>
  </si>
  <si>
    <t>규격</t>
    <phoneticPr fontId="2" type="noConversion"/>
  </si>
  <si>
    <t>재료비</t>
    <phoneticPr fontId="2" type="noConversion"/>
  </si>
  <si>
    <t>노무비</t>
    <phoneticPr fontId="2" type="noConversion"/>
  </si>
  <si>
    <t>경비</t>
    <phoneticPr fontId="2" type="noConversion"/>
  </si>
  <si>
    <t>지급비</t>
    <phoneticPr fontId="2" type="noConversion"/>
  </si>
  <si>
    <t>비고</t>
    <phoneticPr fontId="2" type="noConversion"/>
  </si>
  <si>
    <t>…</t>
    <phoneticPr fontId="2" type="noConversion"/>
  </si>
  <si>
    <t>계</t>
    <phoneticPr fontId="2" type="noConversion"/>
  </si>
  <si>
    <t>단가</t>
    <phoneticPr fontId="2" type="noConversion"/>
  </si>
  <si>
    <t>금액</t>
    <phoneticPr fontId="2" type="noConversion"/>
  </si>
  <si>
    <t>단가</t>
    <phoneticPr fontId="2" type="noConversion"/>
  </si>
  <si>
    <t>단가</t>
    <phoneticPr fontId="2" type="noConversion"/>
  </si>
  <si>
    <t>1.</t>
    <phoneticPr fontId="2" type="noConversion"/>
  </si>
  <si>
    <t>3.</t>
    <phoneticPr fontId="2" type="noConversion"/>
  </si>
  <si>
    <t>** 반드시 다음 사항을 숙지하신 다음 수정 작업을 하십시오 **</t>
    <phoneticPr fontId="2" type="noConversion"/>
  </si>
  <si>
    <t>4.</t>
    <phoneticPr fontId="2" type="noConversion"/>
  </si>
  <si>
    <t xml:space="preserve">a)표지와 원가 -&gt; 총괄표 -&gt; 내역서 -&gt;일위대가와 합산자재 -&gt;단가조사서 를 참조하고 </t>
    <phoneticPr fontId="2" type="noConversion"/>
  </si>
  <si>
    <t>2.</t>
    <phoneticPr fontId="2" type="noConversion"/>
  </si>
  <si>
    <t>5.</t>
    <phoneticPr fontId="2" type="noConversion"/>
  </si>
  <si>
    <t>6.</t>
    <phoneticPr fontId="2" type="noConversion"/>
  </si>
  <si>
    <t xml:space="preserve">   그룹은 견적 프로그램에서 엑셀파일이 만들어질때 지정됩니다.</t>
    <phoneticPr fontId="2" type="noConversion"/>
  </si>
  <si>
    <t>번호</t>
    <phoneticPr fontId="2" type="noConversion"/>
  </si>
  <si>
    <t>번호</t>
    <phoneticPr fontId="2" type="noConversion"/>
  </si>
  <si>
    <t>…</t>
    <phoneticPr fontId="2" type="noConversion"/>
  </si>
  <si>
    <t>비고</t>
    <phoneticPr fontId="2" type="noConversion"/>
  </si>
  <si>
    <t>공   종   명</t>
    <phoneticPr fontId="2" type="noConversion"/>
  </si>
  <si>
    <t>명   칭</t>
    <phoneticPr fontId="2" type="noConversion"/>
  </si>
  <si>
    <t>규   격</t>
    <phoneticPr fontId="2" type="noConversion"/>
  </si>
  <si>
    <t>노임 계산 정보</t>
    <phoneticPr fontId="2" type="noConversion"/>
  </si>
  <si>
    <t>노임계</t>
    <phoneticPr fontId="2" type="noConversion"/>
  </si>
  <si>
    <t>전체(%)</t>
    <phoneticPr fontId="2" type="noConversion"/>
  </si>
  <si>
    <t>공종별(%)</t>
    <phoneticPr fontId="2" type="noConversion"/>
  </si>
  <si>
    <t>노임 소수</t>
    <phoneticPr fontId="2" type="noConversion"/>
  </si>
  <si>
    <t>부속재 및 손료</t>
    <phoneticPr fontId="2" type="noConversion"/>
  </si>
  <si>
    <t>소모재</t>
    <phoneticPr fontId="2" type="noConversion"/>
  </si>
  <si>
    <t>노임계</t>
    <phoneticPr fontId="2" type="noConversion"/>
  </si>
  <si>
    <t>자재계</t>
    <phoneticPr fontId="2" type="noConversion"/>
  </si>
  <si>
    <t>속성이 숫자인 셀을 삭제할 때는 반드시 'Delete' 키를 사용하십시오.</t>
    <phoneticPr fontId="2" type="noConversion"/>
  </si>
  <si>
    <t>**주의:'Space Bar' 로 지웠을 때는 '#Value' Error가 발생됩니다.</t>
    <phoneticPr fontId="2" type="noConversion"/>
  </si>
  <si>
    <t>일위대가(을지)는 소수점 처리 때문에 셀 속성을 '일반'으로 하였습니다.(소수점 능동 처리)</t>
    <phoneticPr fontId="2" type="noConversion"/>
  </si>
  <si>
    <t>**참고: (수량*단가)의 결과는 소수 한자리, 금액을 취합한 소계는 1원 이하 절사입니다.</t>
    <phoneticPr fontId="2" type="noConversion"/>
  </si>
  <si>
    <t>내역서에서는 수량에만 셀 속성을 '일반'으로 하였습니다.(소수점 능동 처리)</t>
    <phoneticPr fontId="2" type="noConversion"/>
  </si>
  <si>
    <t>단가수정은 '단가조사서'시트 에서 하십시오.</t>
    <phoneticPr fontId="2" type="noConversion"/>
  </si>
  <si>
    <t xml:space="preserve">   있으므로 단가조사서의 결정단가를 수정하면 전체 금액이 갱신됩니다.</t>
    <phoneticPr fontId="2" type="noConversion"/>
  </si>
  <si>
    <t xml:space="preserve">   **주의: 금액란은 공식이 걸려있으므로 조심하여 수정하십시오.</t>
    <phoneticPr fontId="2" type="noConversion"/>
  </si>
  <si>
    <t>b)전체 자재를 일정 요율(%)로 변경할 때는 옵션시트의 자재 적용율을 조정하면 됩니다.</t>
    <phoneticPr fontId="2" type="noConversion"/>
  </si>
  <si>
    <t>노임 단가는 '단가조사서'시트에서 품셈은 '노임근거'시트에서 수정하십시오.</t>
    <phoneticPr fontId="2" type="noConversion"/>
  </si>
  <si>
    <t>a)전체 노임을 일정 요율(%)로 변경할 때는 '옵션시트'의 전체노임 적용율을 조정하면 됩니다.</t>
    <phoneticPr fontId="2" type="noConversion"/>
  </si>
  <si>
    <t>b)공종별로 노임을 수정하려면 '옵션시트'의 공종별 노임 적용율을 조정하면 됩니다.</t>
    <phoneticPr fontId="2" type="noConversion"/>
  </si>
  <si>
    <t>c)케이블 및 전선 자재 단가를 추가로 조정하려면 그룹별 자재 적용율을 조정하면 됩니다.</t>
    <phoneticPr fontId="2" type="noConversion"/>
  </si>
  <si>
    <t>겉표지의 모든 정보는 표지를 참조하였습니다.(정보 수정은 표지에서만 하시면 됩니다.)</t>
    <phoneticPr fontId="2" type="noConversion"/>
  </si>
  <si>
    <t>7.</t>
    <phoneticPr fontId="2" type="noConversion"/>
  </si>
  <si>
    <t>필수 :본 프로그램의 총 금액을 확인한 후 사용하십시오.</t>
    <phoneticPr fontId="2" type="noConversion"/>
  </si>
  <si>
    <t>8.</t>
    <phoneticPr fontId="2" type="noConversion"/>
  </si>
  <si>
    <t>본 파일의 내용을 인쇄할 경우, 미리보기를 통하여 페이지 절선을 확인 후 인쇄하십시오.</t>
    <phoneticPr fontId="2" type="noConversion"/>
  </si>
  <si>
    <t>페이지 절선이 맞지 않으면 다음을 참고하십시오.</t>
    <phoneticPr fontId="2" type="noConversion"/>
  </si>
  <si>
    <t>a. 해당시트의 셀 전체를 선택합니다.</t>
    <phoneticPr fontId="2" type="noConversion"/>
  </si>
  <si>
    <t>b. 행높이를 적절히 가감하면 페이지 절선을 맞출 수 있습니다.</t>
    <phoneticPr fontId="2" type="noConversion"/>
  </si>
  <si>
    <t>9.</t>
    <phoneticPr fontId="2" type="noConversion"/>
  </si>
  <si>
    <t>관급자재 Sheet가 해당이 없을 경우엔 삭제하십시오.</t>
    <phoneticPr fontId="2" type="noConversion"/>
  </si>
  <si>
    <t>10.</t>
    <phoneticPr fontId="2" type="noConversion"/>
  </si>
  <si>
    <t>일반배관재</t>
    <phoneticPr fontId="2" type="noConversion"/>
  </si>
  <si>
    <t>CD배관재</t>
    <phoneticPr fontId="2" type="noConversion"/>
  </si>
  <si>
    <t>연속견적가로형식</t>
  </si>
  <si>
    <t>1-1. 전력간선설비공사</t>
  </si>
  <si>
    <t>1-2. 전등설비공사</t>
  </si>
  <si>
    <t>1-3. 전열설비공사</t>
  </si>
  <si>
    <t>1-4. 냉난방설비공사</t>
  </si>
  <si>
    <t>1-5. 철거공사</t>
  </si>
  <si>
    <t>2-1. 조명기구</t>
  </si>
  <si>
    <t>3913170620035660</t>
  </si>
  <si>
    <t>합성수지제 가요전선관</t>
  </si>
  <si>
    <t>CD, 16㎜</t>
  </si>
  <si>
    <t>m</t>
  </si>
  <si>
    <t>3913170610035664</t>
  </si>
  <si>
    <t>CD-난연성 16㎜</t>
  </si>
  <si>
    <t>3913170610035665</t>
  </si>
  <si>
    <t>CD-난연성 22㎜</t>
  </si>
  <si>
    <t>3913170620174425</t>
  </si>
  <si>
    <t>1종금속제가요전선관</t>
  </si>
  <si>
    <t>36 mm 일반-방수</t>
  </si>
  <si>
    <t>3913170620174434</t>
  </si>
  <si>
    <t>커넥터, 16 mm 일반-비방수</t>
  </si>
  <si>
    <t>개</t>
  </si>
  <si>
    <t>3913170620174435</t>
  </si>
  <si>
    <t>커넥터, 22 mm 일반-비방수</t>
  </si>
  <si>
    <t>3913170620174437</t>
  </si>
  <si>
    <t>커넥터, 36 mm 일반-비방수</t>
  </si>
  <si>
    <t>3913170620174440</t>
  </si>
  <si>
    <t>커넥터, 70 mm 일반-비방수</t>
  </si>
  <si>
    <t>3913170620174449</t>
  </si>
  <si>
    <t>커넥터, 36 mm 일반-방수</t>
  </si>
  <si>
    <t>3913170620174478</t>
  </si>
  <si>
    <t>16 mm 고장력-비방수</t>
  </si>
  <si>
    <t>3913170620174479</t>
  </si>
  <si>
    <t>22 mm 고장력-비방수</t>
  </si>
  <si>
    <t>3913170620174481</t>
  </si>
  <si>
    <t>36 mm 고장력-비방수</t>
  </si>
  <si>
    <t>3913170621650776</t>
  </si>
  <si>
    <t>70 mm 고장력-비방수</t>
  </si>
  <si>
    <t>3912130810035750</t>
  </si>
  <si>
    <t>아우트렛박스</t>
  </si>
  <si>
    <t>8각 54㎜</t>
  </si>
  <si>
    <t>3912130610035778</t>
  </si>
  <si>
    <t>스위치박스</t>
  </si>
  <si>
    <t>1 개용 54 mm</t>
  </si>
  <si>
    <t>3912130610036785</t>
  </si>
  <si>
    <t>연결박스</t>
  </si>
  <si>
    <t>3912130820174710</t>
  </si>
  <si>
    <t>아우트렛박스 커버</t>
  </si>
  <si>
    <t>커버, 8각, 평형</t>
  </si>
  <si>
    <t>3912130820174711</t>
  </si>
  <si>
    <t>커버, 8각, 둥근구멍(오목)</t>
  </si>
  <si>
    <t>3912130310035796</t>
  </si>
  <si>
    <t>풀박스</t>
  </si>
  <si>
    <t>100×100×100</t>
  </si>
  <si>
    <t>3912130310035797</t>
  </si>
  <si>
    <t>150×150×100</t>
  </si>
  <si>
    <t>3912130310035798</t>
  </si>
  <si>
    <t>150×150×150</t>
  </si>
  <si>
    <t>3912130310035801</t>
  </si>
  <si>
    <t>200×200×200</t>
  </si>
  <si>
    <t>3912130320174768</t>
  </si>
  <si>
    <t>300×300×300</t>
  </si>
  <si>
    <t>3913170910034920</t>
  </si>
  <si>
    <t>레이스웨이</t>
  </si>
  <si>
    <t>BODY, 70 x 40</t>
  </si>
  <si>
    <t>3913170910034923</t>
  </si>
  <si>
    <t>COVER, 70 x 40</t>
  </si>
  <si>
    <t>3913170910034926</t>
  </si>
  <si>
    <t>JOINER, 70 x 40</t>
  </si>
  <si>
    <t>3913170910034929</t>
  </si>
  <si>
    <t>END CAP, 70 x 40</t>
  </si>
  <si>
    <t>3913170910034937</t>
  </si>
  <si>
    <t>A형 HANGER, 70 x 40</t>
  </si>
  <si>
    <t>3913170520175118</t>
  </si>
  <si>
    <t>케이블트레이부속품</t>
  </si>
  <si>
    <t>JOINT CONNEC.아연도100Hx2.3</t>
  </si>
  <si>
    <t>3913170520175120</t>
  </si>
  <si>
    <t>SHANK BOLT &amp; NUT, 아연도</t>
  </si>
  <si>
    <t>3913170520175124</t>
  </si>
  <si>
    <t>BONDING JUMPER, 35㎟</t>
  </si>
  <si>
    <t>3913170420175333</t>
  </si>
  <si>
    <t>덕트형 케이블트레이</t>
  </si>
  <si>
    <t>DUCT, W 300 x H 100</t>
  </si>
  <si>
    <t>3913171220173813</t>
  </si>
  <si>
    <t>전선덕트</t>
  </si>
  <si>
    <t>알루미늄 50x35 mm</t>
  </si>
  <si>
    <t>3913171220173815</t>
  </si>
  <si>
    <t>알루미늄 70x40 mm</t>
  </si>
  <si>
    <t>3116210220135769</t>
  </si>
  <si>
    <t>스트롱앵커</t>
  </si>
  <si>
    <t>3/8</t>
  </si>
  <si>
    <t>3116169820135160</t>
  </si>
  <si>
    <t>행거볼트</t>
  </si>
  <si>
    <t>M10×1000㎜</t>
  </si>
  <si>
    <t>2612162922076727</t>
  </si>
  <si>
    <t>450/750V 내열비닐절연전선</t>
  </si>
  <si>
    <t>HFIX 1.78mm(2.5㎟)</t>
  </si>
  <si>
    <t>2612162922076728</t>
  </si>
  <si>
    <t>HFIX 2.25mm(4㎟)</t>
  </si>
  <si>
    <t>2612152420683696</t>
  </si>
  <si>
    <t>접지용비닐절연전선(F-GV)</t>
  </si>
  <si>
    <t>4㎟</t>
  </si>
  <si>
    <t>2612152420683700</t>
  </si>
  <si>
    <t>25㎟</t>
  </si>
  <si>
    <t>2612162920683903</t>
  </si>
  <si>
    <t>폴리에틸렌 난연케이블</t>
  </si>
  <si>
    <t>0.6/1kv F-CV 2C×4㎟</t>
  </si>
  <si>
    <t>2612162920683944</t>
  </si>
  <si>
    <t>0.6/1kv F-CV 4C×4㎟</t>
  </si>
  <si>
    <t>3912998720170517</t>
  </si>
  <si>
    <t>매입스위치</t>
  </si>
  <si>
    <t>250V 1로1구</t>
  </si>
  <si>
    <t>3912998720170518</t>
  </si>
  <si>
    <t>250V 1로2구</t>
  </si>
  <si>
    <t>3912998720170519</t>
  </si>
  <si>
    <t>250V 1로3구</t>
  </si>
  <si>
    <t>3912998720170521</t>
  </si>
  <si>
    <t>250V 1로5구</t>
  </si>
  <si>
    <t>3912140620170850</t>
  </si>
  <si>
    <t>콘센트</t>
  </si>
  <si>
    <t>매입-접지형, 250V 2구</t>
  </si>
  <si>
    <t>3912140620170834</t>
  </si>
  <si>
    <t>노출-접지형, 250V 원형</t>
  </si>
  <si>
    <t>3912140620170835</t>
  </si>
  <si>
    <t>노출-접지형, 250V 2구</t>
  </si>
  <si>
    <t>3912161420167114</t>
  </si>
  <si>
    <t>누전차단기(32KGRc)</t>
  </si>
  <si>
    <t>2P 30AF 20AT</t>
  </si>
  <si>
    <t>EA</t>
  </si>
  <si>
    <t>3116172710024976</t>
  </si>
  <si>
    <t>6각너트</t>
  </si>
  <si>
    <t>M10</t>
  </si>
  <si>
    <t>InMastDBNonCode</t>
  </si>
  <si>
    <t>콘센트(철거)</t>
  </si>
  <si>
    <t>각종</t>
  </si>
  <si>
    <t>2612162920685024</t>
  </si>
  <si>
    <t>0.6/1kv F-CV 1C×50㎟/4열동시</t>
  </si>
  <si>
    <t>0.6/1kv F-CV 1C×50㎟</t>
  </si>
  <si>
    <t>조명기구  D TYPE</t>
  </si>
  <si>
    <t>평판매입등, 철거후 재설치</t>
  </si>
  <si>
    <t>PNL.LP-실습실</t>
  </si>
  <si>
    <t>700*1500*180</t>
  </si>
  <si>
    <t>면</t>
  </si>
  <si>
    <t>조명기구  평판등 철거</t>
  </si>
  <si>
    <t>LED 40W</t>
  </si>
  <si>
    <t>조명기구  다운라이트 철거</t>
  </si>
  <si>
    <t>LED 15W이하</t>
  </si>
  <si>
    <t>조명기구  레일스포트등 철거</t>
  </si>
  <si>
    <t>LED 25W이하</t>
  </si>
  <si>
    <t>조명기구  매입스포트등 철거</t>
  </si>
  <si>
    <t>스위치  철거</t>
  </si>
  <si>
    <t>단로용</t>
  </si>
  <si>
    <t>391115ZZ701Z0001</t>
  </si>
  <si>
    <t>조명기구  A TYPE -@관급자재</t>
  </si>
  <si>
    <t>LED 40W 매입라인등, 75x1000</t>
  </si>
  <si>
    <t>391115ZZ701Z0002</t>
  </si>
  <si>
    <t>조명기구  B TYPE -@관급자재</t>
  </si>
  <si>
    <t>LED 40W 노출라인등, 50x1000</t>
  </si>
  <si>
    <t>391115ZZ701Z0003</t>
  </si>
  <si>
    <t>조명기구  C TYPE -@관급자재</t>
  </si>
  <si>
    <t>T5간접조명/LED 18W/1200mm</t>
  </si>
  <si>
    <t>L001010101000075</t>
  </si>
  <si>
    <t>노 무 비</t>
  </si>
  <si>
    <t>내선전공</t>
  </si>
  <si>
    <t>인</t>
  </si>
  <si>
    <t>L001010101000078</t>
  </si>
  <si>
    <t>저압케이블전공</t>
  </si>
  <si>
    <t>L001010101000002</t>
  </si>
  <si>
    <t>보통인부</t>
  </si>
  <si>
    <t>총줄수-&gt;</t>
  </si>
  <si>
    <t>81</t>
  </si>
  <si>
    <t>공종줄</t>
  </si>
  <si>
    <t>Φ22이하</t>
  </si>
  <si>
    <t>식</t>
  </si>
  <si>
    <t>56950170142</t>
  </si>
  <si>
    <t>EAA110760000</t>
  </si>
  <si>
    <t>RACE WAY 행거</t>
  </si>
  <si>
    <t>70x40</t>
  </si>
  <si>
    <t>56959100801</t>
  </si>
  <si>
    <t>EAB110211000</t>
  </si>
  <si>
    <t>배관용 홈파기</t>
  </si>
  <si>
    <t>56959100802</t>
  </si>
  <si>
    <t>EAB110212000</t>
  </si>
  <si>
    <t>5975D097002</t>
  </si>
  <si>
    <t>E59753097002</t>
  </si>
  <si>
    <t>5975D097003</t>
  </si>
  <si>
    <t>E59753097003</t>
  </si>
  <si>
    <t>5975D017026</t>
  </si>
  <si>
    <t>E59753017026</t>
  </si>
  <si>
    <t>56959100803</t>
  </si>
  <si>
    <t>EAB110213000</t>
  </si>
  <si>
    <t>56959100804</t>
  </si>
  <si>
    <t>EAB110214000</t>
  </si>
  <si>
    <t>56959100805</t>
  </si>
  <si>
    <t>EAB110215000</t>
  </si>
  <si>
    <t>56959100806</t>
  </si>
  <si>
    <t>EAB110216000</t>
  </si>
  <si>
    <t>5975D767011</t>
  </si>
  <si>
    <t>E59753767011</t>
  </si>
  <si>
    <t>5975D777102</t>
  </si>
  <si>
    <t>E59753777102</t>
  </si>
  <si>
    <t>56959100807</t>
  </si>
  <si>
    <t>EAB110217000</t>
  </si>
  <si>
    <t>5975D857021</t>
  </si>
  <si>
    <t>E59753857021</t>
  </si>
  <si>
    <t>5975D857031</t>
  </si>
  <si>
    <t>E59753857031</t>
  </si>
  <si>
    <t>5975D857041</t>
  </si>
  <si>
    <t>E59753857041</t>
  </si>
  <si>
    <t>5975D857081</t>
  </si>
  <si>
    <t>E59753857081</t>
  </si>
  <si>
    <t>5975D857141</t>
  </si>
  <si>
    <t>E59753857141</t>
  </si>
  <si>
    <t>5975A897011</t>
  </si>
  <si>
    <t>E59750897011</t>
  </si>
  <si>
    <t>5975E977021</t>
  </si>
  <si>
    <t>E59754977021</t>
  </si>
  <si>
    <t>5975B477025</t>
  </si>
  <si>
    <t>E59751477025</t>
  </si>
  <si>
    <t>5975B477027</t>
  </si>
  <si>
    <t>E59751477027</t>
  </si>
  <si>
    <t>56959100808</t>
  </si>
  <si>
    <t>EMM481669624</t>
  </si>
  <si>
    <t>E145A667003</t>
  </si>
  <si>
    <t>EE1450667003</t>
  </si>
  <si>
    <t>E145A927202</t>
  </si>
  <si>
    <t>EE1450927202</t>
  </si>
  <si>
    <t>E145A927206</t>
  </si>
  <si>
    <t>EE1450927206</t>
  </si>
  <si>
    <t>E145A287522</t>
  </si>
  <si>
    <t>EE1450287522</t>
  </si>
  <si>
    <t>E145A287562</t>
  </si>
  <si>
    <t>EE1450287562</t>
  </si>
  <si>
    <t>5930B517001</t>
  </si>
  <si>
    <t>E59301517001</t>
  </si>
  <si>
    <t>5930B517002</t>
  </si>
  <si>
    <t>E59301517002</t>
  </si>
  <si>
    <t>5930B517003</t>
  </si>
  <si>
    <t>E59301517003</t>
  </si>
  <si>
    <t>5930B517005</t>
  </si>
  <si>
    <t>E59301517005</t>
  </si>
  <si>
    <t>5935A317206</t>
  </si>
  <si>
    <t>E59350317206</t>
  </si>
  <si>
    <t>5935A317121</t>
  </si>
  <si>
    <t>E59350317121</t>
  </si>
  <si>
    <t>5935A317122</t>
  </si>
  <si>
    <t>E59350317122</t>
  </si>
  <si>
    <t>56959100809</t>
  </si>
  <si>
    <t>EMM300020604</t>
  </si>
  <si>
    <t>56959100810</t>
  </si>
  <si>
    <t>EMM062374874</t>
  </si>
  <si>
    <t>56959100811</t>
  </si>
  <si>
    <t>EMM062983138</t>
  </si>
  <si>
    <t>56959100812</t>
  </si>
  <si>
    <t>EMM063321150</t>
  </si>
  <si>
    <t>56959100813</t>
  </si>
  <si>
    <t>EMM063385051</t>
  </si>
  <si>
    <t>56959100814</t>
  </si>
  <si>
    <t>EMM063385058</t>
  </si>
  <si>
    <t>56959100815</t>
  </si>
  <si>
    <t>EMM063385060</t>
  </si>
  <si>
    <t>56959100816</t>
  </si>
  <si>
    <t>EMM063385061</t>
  </si>
  <si>
    <t>56959100817</t>
  </si>
  <si>
    <t>EMM063385064</t>
  </si>
  <si>
    <t>56959100818</t>
  </si>
  <si>
    <t>EMM063385066</t>
  </si>
  <si>
    <t>56959100819</t>
  </si>
  <si>
    <t>EMM064178522</t>
  </si>
  <si>
    <t>56959100820</t>
  </si>
  <si>
    <t>EMM064178523</t>
  </si>
  <si>
    <t>56959100821</t>
  </si>
  <si>
    <t>EMM064178524</t>
  </si>
  <si>
    <t>합계줄</t>
  </si>
  <si>
    <t>( 합       계 )</t>
  </si>
  <si>
    <t>1.전기공사::1-1.전력간선설비공사</t>
  </si>
  <si>
    <t>59753017049</t>
  </si>
  <si>
    <t>00101</t>
  </si>
  <si>
    <t>59754967501</t>
  </si>
  <si>
    <t>59754967521</t>
  </si>
  <si>
    <t>59754967561</t>
  </si>
  <si>
    <t>1.전기공사::1-2.전등설비공사</t>
  </si>
  <si>
    <t>00102</t>
  </si>
  <si>
    <t>59753017043</t>
  </si>
  <si>
    <t>59753017044</t>
  </si>
  <si>
    <t>59753767211</t>
  </si>
  <si>
    <t>59750897041</t>
  </si>
  <si>
    <t>59750897071</t>
  </si>
  <si>
    <t>59750897101</t>
  </si>
  <si>
    <t>1.전기공사::1-3.전열설비공사</t>
  </si>
  <si>
    <t>00103</t>
  </si>
  <si>
    <t>59753017046</t>
  </si>
  <si>
    <t>59753767201</t>
  </si>
  <si>
    <t>1.전기공사::1-4.냉난방설비공사</t>
  </si>
  <si>
    <t>00104</t>
  </si>
  <si>
    <t>59753017066</t>
  </si>
  <si>
    <t>1.전기공사::1-5.철거공사</t>
  </si>
  <si>
    <t>00105</t>
  </si>
  <si>
    <t>2.도급자관급::2-1.조명기구</t>
  </si>
  <si>
    <t>MM06D321148</t>
  </si>
  <si>
    <t>00201</t>
  </si>
  <si>
    <t>EMM063321148</t>
  </si>
  <si>
    <t>조명기구  A TYPE</t>
  </si>
  <si>
    <t>MM06D321149</t>
  </si>
  <si>
    <t>EMM063321149</t>
  </si>
  <si>
    <t>조명기구  B TYPE</t>
  </si>
  <si>
    <t>MM06D667104</t>
  </si>
  <si>
    <t>EMM063667104</t>
  </si>
  <si>
    <t>조명기구  C TYPE</t>
  </si>
  <si>
    <t>185</t>
  </si>
  <si>
    <t>2.0</t>
  </si>
  <si>
    <t>001</t>
  </si>
  <si>
    <t>1. 전기공사</t>
  </si>
  <si>
    <t>Total</t>
  </si>
  <si>
    <t>002</t>
  </si>
  <si>
    <t>2.도급자관급</t>
  </si>
  <si>
    <t>1.전기공사</t>
  </si>
  <si>
    <t>107</t>
  </si>
  <si>
    <t>[폴리텍대학교 성남캠퍼스 본관동 리모델링 전기공사]</t>
  </si>
  <si>
    <t>[ 폴리텍대학교 성남캠퍼스 본관동 리모델링 전기공사 ] - 합산자재목록</t>
  </si>
  <si>
    <t>공 사 원 가 계 산 서</t>
    <phoneticPr fontId="2" type="noConversion"/>
  </si>
  <si>
    <t xml:space="preserve"> 1 = 일반건설공사(갑)
 2 = 특수 및 기타건설공사</t>
  </si>
  <si>
    <t>[ 공사명 ]</t>
  </si>
  <si>
    <t>비           목</t>
  </si>
  <si>
    <t>금       액</t>
  </si>
  <si>
    <t>구       성       비</t>
  </si>
  <si>
    <t>비            고</t>
  </si>
  <si>
    <t xml:space="preserve"> </t>
  </si>
  <si>
    <t>2026.04.13 공고분부터 적용</t>
    <phoneticPr fontId="2" type="noConversion"/>
  </si>
  <si>
    <t>순    공    사    원    가</t>
  </si>
  <si>
    <t>재료비</t>
  </si>
  <si>
    <t>직 접 재 료 비</t>
  </si>
  <si>
    <t>직재비율</t>
  </si>
  <si>
    <t>간 접 재 료 비</t>
  </si>
  <si>
    <t>작업설,부산물(△)</t>
  </si>
  <si>
    <t>[ 소      계 ]</t>
  </si>
  <si>
    <t>노무비</t>
  </si>
  <si>
    <t>직 접 노 무 비</t>
  </si>
  <si>
    <t>직노비율</t>
  </si>
  <si>
    <t>간 접 노 무 비</t>
  </si>
  <si>
    <t>간접노무비</t>
  </si>
  <si>
    <t>☜2018년_건축공사_원가계산_제비율_적용기준</t>
  </si>
  <si>
    <t>경         비</t>
  </si>
  <si>
    <t>전    력    비</t>
  </si>
  <si>
    <t>운    반    비</t>
  </si>
  <si>
    <t>기  계  경  비</t>
  </si>
  <si>
    <t>품 질 관 리 비</t>
  </si>
  <si>
    <t>가    설    비</t>
  </si>
  <si>
    <t>산 재 보 험 료</t>
  </si>
  <si>
    <t>산재보험료</t>
  </si>
  <si>
    <t>☜모든 건설공사에 적용(노동부고시 제2017-75호), 산업재해보상보험법 시행령</t>
  </si>
  <si>
    <t>←적용대상 : 모든 건설공사</t>
  </si>
  <si>
    <t>고 용 보 험 료</t>
  </si>
  <si>
    <t>고용보험료</t>
  </si>
  <si>
    <t>☜모든 건설공사에 적용(국토부 고시 제2018-462호), 고용보험범 시행령</t>
  </si>
  <si>
    <t>건 강 보 험 료</t>
  </si>
  <si>
    <t>건강보험료</t>
  </si>
  <si>
    <t>☜공사기간 1개월(30일)이상 모든 공사에 반영(국토교통부 고시 제2018-462호), 노인장기요양보험법 시행령 제4조</t>
  </si>
  <si>
    <t>←적용대상 : 공사기간 1개월(30일)이상 모든 건설공사</t>
  </si>
  <si>
    <t>연 금 보 험 료</t>
  </si>
  <si>
    <t>연금보험료</t>
  </si>
  <si>
    <t>노인장기보험료</t>
  </si>
  <si>
    <t>노인보험료</t>
  </si>
  <si>
    <t>퇴직공제부금비</t>
  </si>
  <si>
    <t>퇴직공제비</t>
  </si>
  <si>
    <t>재료비+직접노무비+도급자관급</t>
  </si>
  <si>
    <t>☜추정금액 3억원 이상 건설공사(국토교통부 고시 제2015-610호)</t>
  </si>
  <si>
    <t>←적용대상 : 추정금액(추정가격+부가세+관급액) 공공부문(1억원이상), 민간부문(50억원이상)</t>
  </si>
  <si>
    <t>산업안전보건관리비</t>
  </si>
  <si>
    <t>(a),(b)중 작은값</t>
  </si>
  <si>
    <t>안전관리비</t>
  </si>
  <si>
    <t>←적용대상 : 총 공사금액(도급액+도급자관급액) 2천만원 이상 건설공사</t>
  </si>
  <si>
    <t xml:space="preserve"> -도급자관급불포함(a)</t>
  </si>
  <si>
    <t>5억미만</t>
  </si>
  <si>
    <t>안전관리비 대상액1</t>
  </si>
  <si>
    <t>☜재료비(도급자관급액포함) + 직노</t>
  </si>
  <si>
    <t>50억미만:일반건설</t>
  </si>
  <si>
    <t>50억미만:특수및기타</t>
  </si>
  <si>
    <t xml:space="preserve"> -도급자관급포함(b)</t>
  </si>
  <si>
    <t>기  타  경  비</t>
  </si>
  <si>
    <t>기타경비</t>
  </si>
  <si>
    <t>환 경 보 전 비</t>
  </si>
  <si>
    <t>환경보존</t>
  </si>
  <si>
    <t>←적용제외 : 전기,통신,소방</t>
  </si>
  <si>
    <t>석 면 분 담 금</t>
    <phoneticPr fontId="2" type="noConversion"/>
  </si>
  <si>
    <t>석면분담</t>
    <phoneticPr fontId="2" type="noConversion"/>
  </si>
  <si>
    <t>임금채권부담금</t>
    <phoneticPr fontId="2" type="noConversion"/>
  </si>
  <si>
    <t>임금채권</t>
    <phoneticPr fontId="2" type="noConversion"/>
  </si>
  <si>
    <t>[       계       ]</t>
  </si>
  <si>
    <t>재료비+노무비+경비</t>
  </si>
  <si>
    <t>30억미만</t>
  </si>
  <si>
    <t>일  반  관  리  비</t>
  </si>
  <si>
    <t>일반관리비</t>
  </si>
  <si>
    <t>폐 기 물 처 리 비</t>
  </si>
  <si>
    <t>이              윤</t>
  </si>
  <si>
    <t>이  윤</t>
  </si>
  <si>
    <t>고  재  처  리  비</t>
  </si>
  <si>
    <t>[ 공  급  가  액 ]</t>
  </si>
  <si>
    <t>이윤절사</t>
  </si>
  <si>
    <t>☜ 도급액의 "=백단위" 입력</t>
  </si>
  <si>
    <t>[ 손해배상보험료 ]</t>
    <phoneticPr fontId="2" type="noConversion"/>
  </si>
  <si>
    <t xml:space="preserve">  (공급가액) * 0.26477 %</t>
    <phoneticPr fontId="2" type="noConversion"/>
  </si>
  <si>
    <t>최소공제금액 20,000</t>
    <phoneticPr fontId="2" type="noConversion"/>
  </si>
  <si>
    <t>손해배상</t>
    <phoneticPr fontId="2" type="noConversion"/>
  </si>
  <si>
    <t>초과일수</t>
    <phoneticPr fontId="2" type="noConversion"/>
  </si>
  <si>
    <t>부  가  가  치  세</t>
  </si>
  <si>
    <t>[  도  급  액  ]</t>
  </si>
  <si>
    <t>[  도급자관급액  ]</t>
  </si>
  <si>
    <t>[  관급자관급액  ]</t>
  </si>
  <si>
    <t>[ 한전불입 및 사용전검사 ]</t>
    <phoneticPr fontId="2" type="noConversion"/>
  </si>
  <si>
    <t>[  합       계  ]</t>
  </si>
  <si>
    <t>[ 한전표준공사비 ]</t>
  </si>
  <si>
    <t>[ 사용전검사비 ]</t>
  </si>
  <si>
    <t>[  총 공 사 비  ]</t>
  </si>
  <si>
    <t>[ 폴리텍대학교 성남캠퍼스 피지컬 AI센터 구축공사(전기) ]</t>
    <phoneticPr fontId="2" type="noConversion"/>
  </si>
  <si>
    <t>[폴리텍대학교 성남캠퍼스 피지컬 AI센터 구축공사(전기)]</t>
    <phoneticPr fontId="2" type="noConversion"/>
  </si>
  <si>
    <t>(노무비) * 3.56 %</t>
  </si>
  <si>
    <t>(노무비) * 1.01 %</t>
  </si>
  <si>
    <t>(직접노무비) * 2.3 %</t>
  </si>
  <si>
    <t>(재료비+직접노무비+관급액/1.1) * 3.11 %</t>
  </si>
  <si>
    <t>(재료비+직접노무비) * 3.11 % * 1.2</t>
  </si>
  <si>
    <t>(재료비+노무비) * 5 %</t>
  </si>
  <si>
    <t>(노무비) * 0.006 %</t>
  </si>
  <si>
    <t>(노무비) * 0.09 %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</si>
</sst>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1" formatCode="_-* #,##0_-;\-* #,##0_-;_-* &quot;-&quot;_-;_-@_-"/>
    <numFmt numFmtId="43" formatCode="_-* #,##0.00_-;\-* #,##0.00_-;_-* &quot;-&quot;??_-;_-@_-"/>
    <numFmt numFmtId="176" formatCode="#,##0_ "/>
    <numFmt numFmtId="178" formatCode="#,###;\-#,###"/>
    <numFmt numFmtId="179" formatCode="&quot;[&quot;#&quot;]&quot;"/>
    <numFmt numFmtId="180" formatCode="\(&quot;₩&quot;###,###,###\ &quot;원&quot;\)"/>
    <numFmt numFmtId="181" formatCode="&quot;공사기간 : 착공일부터 &quot;##&quot;일&quot;"/>
    <numFmt numFmtId="182" formatCode="#,##0_ ;[Red]\-#,##0\ "/>
    <numFmt numFmtId="183" formatCode="0.0%"/>
    <numFmt numFmtId="184" formatCode="0.000%"/>
    <numFmt numFmtId="185" formatCode="0.00000%"/>
  </numFmts>
  <fonts count="21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돋움체"/>
      <family val="3"/>
      <charset val="129"/>
    </font>
    <font>
      <sz val="12"/>
      <name val="돋움체"/>
      <family val="3"/>
      <charset val="129"/>
    </font>
    <font>
      <sz val="16"/>
      <name val="돋움"/>
      <family val="3"/>
      <charset val="129"/>
    </font>
    <font>
      <b/>
      <sz val="11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22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4"/>
      <color rgb="FF0000FF"/>
      <name val="굴림체"/>
      <family val="3"/>
      <charset val="129"/>
    </font>
    <font>
      <b/>
      <sz val="10"/>
      <color rgb="FF000000"/>
      <name val="굴림체"/>
      <family val="3"/>
      <charset val="129"/>
    </font>
    <font>
      <b/>
      <sz val="11"/>
      <color rgb="FF000000"/>
      <name val="굴림체"/>
      <family val="3"/>
      <charset val="129"/>
    </font>
    <font>
      <sz val="9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b/>
      <sz val="10"/>
      <color rgb="FF0000FF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sz val="8"/>
      <color rgb="FF000000"/>
      <name val="굴림체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D9D9D9"/>
        <bgColor rgb="FFFFFFFF"/>
      </patternFill>
    </fill>
    <fill>
      <patternFill patternType="solid">
        <fgColor rgb="FFD9D9D9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0">
    <xf numFmtId="0" fontId="0" fillId="0" borderId="0"/>
    <xf numFmtId="41" fontId="1" fillId="0" borderId="0" applyFont="0" applyFill="0" applyBorder="0" applyAlignment="0" applyProtection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41" fontId="8" fillId="0" borderId="0">
      <alignment vertical="center"/>
    </xf>
    <xf numFmtId="41" fontId="8" fillId="0" borderId="0"/>
    <xf numFmtId="0" fontId="8" fillId="0" borderId="0"/>
    <xf numFmtId="9" fontId="8" fillId="0" borderId="0">
      <alignment vertical="center"/>
    </xf>
    <xf numFmtId="41" fontId="8" fillId="0" borderId="0">
      <alignment vertical="center"/>
    </xf>
  </cellStyleXfs>
  <cellXfs count="174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49" fontId="3" fillId="0" borderId="1" xfId="0" applyNumberFormat="1" applyFont="1" applyBorder="1" applyAlignment="1">
      <alignment horizontal="right"/>
    </xf>
    <xf numFmtId="49" fontId="3" fillId="0" borderId="1" xfId="0" applyNumberFormat="1" applyFont="1" applyBorder="1"/>
    <xf numFmtId="49" fontId="3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9" fontId="6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78" fontId="3" fillId="0" borderId="0" xfId="0" applyNumberFormat="1" applyFont="1"/>
    <xf numFmtId="178" fontId="3" fillId="0" borderId="1" xfId="0" applyNumberFormat="1" applyFont="1" applyBorder="1"/>
    <xf numFmtId="178" fontId="3" fillId="0" borderId="0" xfId="0" applyNumberFormat="1" applyFont="1" applyAlignment="1">
      <alignment horizontal="center" vertical="center"/>
    </xf>
    <xf numFmtId="0" fontId="7" fillId="3" borderId="1" xfId="0" applyFont="1" applyFill="1" applyBorder="1"/>
    <xf numFmtId="49" fontId="3" fillId="0" borderId="0" xfId="0" applyNumberFormat="1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3" fillId="0" borderId="1" xfId="1" applyNumberFormat="1" applyFont="1" applyBorder="1"/>
    <xf numFmtId="178" fontId="3" fillId="0" borderId="2" xfId="0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178" fontId="10" fillId="0" borderId="0" xfId="3" applyNumberFormat="1" applyFont="1" applyAlignment="1">
      <alignment vertical="center"/>
    </xf>
    <xf numFmtId="178" fontId="11" fillId="0" borderId="9" xfId="3" applyNumberFormat="1" applyFont="1" applyBorder="1" applyAlignment="1">
      <alignment horizontal="center" vertical="center" shrinkToFit="1"/>
    </xf>
    <xf numFmtId="0" fontId="13" fillId="0" borderId="0" xfId="4" applyFont="1">
      <alignment vertical="center"/>
    </xf>
    <xf numFmtId="180" fontId="14" fillId="0" borderId="5" xfId="3" applyNumberFormat="1" applyFont="1" applyBorder="1" applyAlignment="1">
      <alignment horizontal="right" vertical="center"/>
    </xf>
    <xf numFmtId="49" fontId="12" fillId="0" borderId="0" xfId="3" applyNumberFormat="1" applyFont="1" applyAlignment="1">
      <alignment vertical="center"/>
    </xf>
    <xf numFmtId="0" fontId="15" fillId="0" borderId="0" xfId="3" applyFont="1" applyAlignment="1">
      <alignment horizontal="center" vertical="center"/>
    </xf>
    <xf numFmtId="178" fontId="12" fillId="4" borderId="2" xfId="3" applyNumberFormat="1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/>
    </xf>
    <xf numFmtId="49" fontId="15" fillId="0" borderId="2" xfId="3" applyNumberFormat="1" applyFont="1" applyBorder="1" applyAlignment="1">
      <alignment horizontal="center" vertical="center"/>
    </xf>
    <xf numFmtId="41" fontId="15" fillId="0" borderId="2" xfId="5" applyFont="1" applyBorder="1" applyAlignment="1">
      <alignment horizontal="right" vertical="center"/>
    </xf>
    <xf numFmtId="49" fontId="16" fillId="0" borderId="10" xfId="3" applyNumberFormat="1" applyFont="1" applyBorder="1" applyAlignment="1">
      <alignment horizontal="center" vertical="center" shrinkToFit="1"/>
    </xf>
    <xf numFmtId="176" fontId="16" fillId="0" borderId="10" xfId="6" applyNumberFormat="1" applyFont="1" applyBorder="1" applyAlignment="1">
      <alignment horizontal="center" vertical="center"/>
    </xf>
    <xf numFmtId="49" fontId="15" fillId="0" borderId="11" xfId="3" applyNumberFormat="1" applyFont="1" applyBorder="1" applyAlignment="1">
      <alignment horizontal="center" vertical="center"/>
    </xf>
    <xf numFmtId="41" fontId="15" fillId="0" borderId="11" xfId="5" applyFont="1" applyBorder="1" applyAlignment="1">
      <alignment horizontal="right" vertical="center"/>
    </xf>
    <xf numFmtId="0" fontId="14" fillId="0" borderId="0" xfId="3" applyFont="1" applyAlignment="1">
      <alignment vertical="center"/>
    </xf>
    <xf numFmtId="182" fontId="15" fillId="0" borderId="11" xfId="5" applyNumberFormat="1" applyFont="1" applyBorder="1" applyAlignment="1">
      <alignment horizontal="right" vertical="center"/>
    </xf>
    <xf numFmtId="0" fontId="10" fillId="0" borderId="0" xfId="3" applyFont="1" applyAlignment="1">
      <alignment horizontal="center" vertical="center"/>
    </xf>
    <xf numFmtId="41" fontId="10" fillId="0" borderId="0" xfId="6" applyFont="1" applyAlignment="1">
      <alignment vertical="center"/>
    </xf>
    <xf numFmtId="49" fontId="15" fillId="0" borderId="12" xfId="3" applyNumberFormat="1" applyFont="1" applyBorder="1" applyAlignment="1">
      <alignment horizontal="center" vertical="center"/>
    </xf>
    <xf numFmtId="41" fontId="15" fillId="0" borderId="12" xfId="5" applyFont="1" applyBorder="1" applyAlignment="1">
      <alignment horizontal="right" vertical="center"/>
    </xf>
    <xf numFmtId="49" fontId="15" fillId="0" borderId="13" xfId="3" applyNumberFormat="1" applyFont="1" applyBorder="1" applyAlignment="1">
      <alignment horizontal="center" vertical="center"/>
    </xf>
    <xf numFmtId="41" fontId="15" fillId="0" borderId="13" xfId="5" applyFont="1" applyBorder="1" applyAlignment="1">
      <alignment horizontal="right" vertical="center"/>
    </xf>
    <xf numFmtId="49" fontId="17" fillId="0" borderId="10" xfId="3" applyNumberFormat="1" applyFont="1" applyBorder="1" applyAlignment="1">
      <alignment horizontal="center" vertical="center" shrinkToFit="1"/>
    </xf>
    <xf numFmtId="176" fontId="17" fillId="0" borderId="10" xfId="6" applyNumberFormat="1" applyFont="1" applyBorder="1" applyAlignment="1">
      <alignment horizontal="center" vertical="center"/>
    </xf>
    <xf numFmtId="49" fontId="15" fillId="0" borderId="1" xfId="3" applyNumberFormat="1" applyFont="1" applyBorder="1" applyAlignment="1">
      <alignment horizontal="center" vertical="center" shrinkToFit="1"/>
    </xf>
    <xf numFmtId="183" fontId="15" fillId="0" borderId="1" xfId="8" applyNumberFormat="1" applyFont="1" applyBorder="1" applyAlignment="1">
      <alignment horizontal="center" vertical="center"/>
    </xf>
    <xf numFmtId="0" fontId="15" fillId="0" borderId="0" xfId="3" applyFont="1" applyAlignment="1">
      <alignment vertical="center"/>
    </xf>
    <xf numFmtId="49" fontId="15" fillId="0" borderId="0" xfId="3" applyNumberFormat="1" applyFont="1" applyAlignment="1">
      <alignment horizontal="center" vertical="center" shrinkToFit="1"/>
    </xf>
    <xf numFmtId="10" fontId="15" fillId="0" borderId="0" xfId="8" applyNumberFormat="1" applyFont="1" applyAlignment="1">
      <alignment horizontal="center" vertical="center"/>
    </xf>
    <xf numFmtId="49" fontId="15" fillId="0" borderId="13" xfId="7" applyNumberFormat="1" applyFont="1" applyBorder="1" applyAlignment="1">
      <alignment horizontal="center" vertical="center"/>
    </xf>
    <xf numFmtId="49" fontId="15" fillId="0" borderId="0" xfId="7" applyNumberFormat="1" applyFont="1" applyAlignment="1">
      <alignment horizontal="center" vertical="center" shrinkToFit="1"/>
    </xf>
    <xf numFmtId="49" fontId="15" fillId="0" borderId="11" xfId="7" applyNumberFormat="1" applyFont="1" applyBorder="1" applyAlignment="1">
      <alignment horizontal="center" vertical="center"/>
    </xf>
    <xf numFmtId="49" fontId="15" fillId="0" borderId="1" xfId="7" applyNumberFormat="1" applyFont="1" applyBorder="1" applyAlignment="1">
      <alignment horizontal="center" vertical="center" shrinkToFit="1"/>
    </xf>
    <xf numFmtId="10" fontId="15" fillId="0" borderId="1" xfId="8" applyNumberFormat="1" applyFont="1" applyBorder="1" applyAlignment="1">
      <alignment horizontal="center" vertical="center"/>
    </xf>
    <xf numFmtId="41" fontId="15" fillId="0" borderId="0" xfId="5" applyFont="1">
      <alignment vertical="center"/>
    </xf>
    <xf numFmtId="0" fontId="16" fillId="0" borderId="0" xfId="3" applyFont="1" applyAlignment="1">
      <alignment vertical="center"/>
    </xf>
    <xf numFmtId="184" fontId="15" fillId="0" borderId="1" xfId="8" applyNumberFormat="1" applyFont="1" applyBorder="1" applyAlignment="1">
      <alignment horizontal="center" vertical="center"/>
    </xf>
    <xf numFmtId="10" fontId="16" fillId="0" borderId="1" xfId="8" applyNumberFormat="1" applyFont="1" applyBorder="1" applyAlignment="1">
      <alignment horizontal="center" vertical="center"/>
    </xf>
    <xf numFmtId="176" fontId="16" fillId="0" borderId="1" xfId="8" applyNumberFormat="1" applyFont="1" applyBorder="1" applyAlignment="1">
      <alignment horizontal="center" vertical="center"/>
    </xf>
    <xf numFmtId="41" fontId="14" fillId="0" borderId="11" xfId="5" applyFont="1" applyBorder="1" applyAlignment="1">
      <alignment horizontal="left" vertical="center"/>
    </xf>
    <xf numFmtId="0" fontId="15" fillId="0" borderId="4" xfId="3" applyFont="1" applyBorder="1" applyAlignment="1">
      <alignment vertical="center" shrinkToFit="1"/>
    </xf>
    <xf numFmtId="176" fontId="15" fillId="0" borderId="4" xfId="3" applyNumberFormat="1" applyFont="1" applyBorder="1" applyAlignment="1">
      <alignment horizontal="center" vertical="center"/>
    </xf>
    <xf numFmtId="49" fontId="15" fillId="0" borderId="17" xfId="7" applyNumberFormat="1" applyFont="1" applyBorder="1" applyAlignment="1">
      <alignment horizontal="center" vertical="center"/>
    </xf>
    <xf numFmtId="49" fontId="15" fillId="0" borderId="12" xfId="7" applyNumberFormat="1" applyFont="1" applyBorder="1" applyAlignment="1">
      <alignment horizontal="center" vertical="center"/>
    </xf>
    <xf numFmtId="41" fontId="15" fillId="0" borderId="1" xfId="5" applyFont="1" applyBorder="1" applyAlignment="1">
      <alignment horizontal="right" vertical="center"/>
    </xf>
    <xf numFmtId="49" fontId="15" fillId="0" borderId="8" xfId="7" applyNumberFormat="1" applyFont="1" applyBorder="1" applyAlignment="1">
      <alignment horizontal="center" vertical="center" shrinkToFit="1"/>
    </xf>
    <xf numFmtId="10" fontId="15" fillId="0" borderId="8" xfId="8" applyNumberFormat="1" applyFont="1" applyBorder="1" applyAlignment="1">
      <alignment horizontal="center" vertical="center"/>
    </xf>
    <xf numFmtId="0" fontId="10" fillId="0" borderId="5" xfId="3" applyFont="1" applyBorder="1" applyAlignment="1">
      <alignment vertical="center"/>
    </xf>
    <xf numFmtId="0" fontId="10" fillId="0" borderId="8" xfId="3" applyFont="1" applyBorder="1" applyAlignment="1">
      <alignment vertical="center"/>
    </xf>
    <xf numFmtId="41" fontId="15" fillId="0" borderId="1" xfId="9" applyFont="1" applyBorder="1" applyAlignment="1">
      <alignment horizontal="right" vertical="center"/>
    </xf>
    <xf numFmtId="0" fontId="10" fillId="0" borderId="1" xfId="3" applyFont="1" applyBorder="1" applyAlignment="1">
      <alignment vertical="center"/>
    </xf>
    <xf numFmtId="41" fontId="12" fillId="5" borderId="1" xfId="5" applyFont="1" applyFill="1" applyBorder="1" applyAlignment="1">
      <alignment horizontal="right" vertical="center"/>
    </xf>
    <xf numFmtId="178" fontId="15" fillId="0" borderId="0" xfId="3" applyNumberFormat="1" applyFont="1" applyAlignment="1">
      <alignment horizontal="left" vertical="center"/>
    </xf>
    <xf numFmtId="41" fontId="15" fillId="0" borderId="3" xfId="5" applyFont="1" applyBorder="1" applyAlignment="1">
      <alignment horizontal="right" vertical="center"/>
    </xf>
    <xf numFmtId="41" fontId="12" fillId="5" borderId="3" xfId="5" applyFont="1" applyFill="1" applyBorder="1" applyAlignment="1">
      <alignment horizontal="right" vertical="center"/>
    </xf>
    <xf numFmtId="178" fontId="10" fillId="0" borderId="0" xfId="3" applyNumberFormat="1" applyFont="1" applyAlignment="1">
      <alignment vertical="center" shrinkToFit="1"/>
    </xf>
    <xf numFmtId="41" fontId="12" fillId="6" borderId="3" xfId="5" applyFont="1" applyFill="1" applyBorder="1" applyAlignment="1">
      <alignment horizontal="right" vertical="center"/>
    </xf>
    <xf numFmtId="0" fontId="18" fillId="0" borderId="0" xfId="3" applyFont="1" applyAlignment="1">
      <alignment vertical="center"/>
    </xf>
    <xf numFmtId="178" fontId="19" fillId="0" borderId="0" xfId="3" applyNumberFormat="1" applyFont="1" applyAlignment="1">
      <alignment vertical="center" shrinkToFit="1"/>
    </xf>
    <xf numFmtId="0" fontId="20" fillId="0" borderId="0" xfId="3" applyFont="1" applyAlignment="1">
      <alignment horizontal="center" vertical="center"/>
    </xf>
    <xf numFmtId="0" fontId="19" fillId="0" borderId="0" xfId="3" applyFont="1" applyAlignment="1">
      <alignment vertical="center"/>
    </xf>
    <xf numFmtId="43" fontId="10" fillId="0" borderId="0" xfId="3" applyNumberFormat="1" applyFont="1" applyAlignment="1">
      <alignment vertical="center"/>
    </xf>
    <xf numFmtId="41" fontId="10" fillId="0" borderId="0" xfId="3" applyNumberFormat="1" applyFont="1" applyAlignment="1">
      <alignment horizontal="left" vertical="center"/>
    </xf>
    <xf numFmtId="0" fontId="10" fillId="0" borderId="0" xfId="3" applyFont="1" applyAlignment="1">
      <alignment horizontal="left" vertical="center"/>
    </xf>
    <xf numFmtId="43" fontId="10" fillId="0" borderId="0" xfId="3" applyNumberFormat="1" applyFont="1" applyAlignment="1">
      <alignment horizontal="left" vertical="center"/>
    </xf>
    <xf numFmtId="49" fontId="15" fillId="0" borderId="20" xfId="3" applyNumberFormat="1" applyFont="1" applyBorder="1" applyAlignment="1">
      <alignment horizontal="center" vertical="center"/>
    </xf>
    <xf numFmtId="49" fontId="15" fillId="0" borderId="21" xfId="3" applyNumberFormat="1" applyFont="1" applyBorder="1" applyAlignment="1">
      <alignment horizontal="center" vertical="center"/>
    </xf>
    <xf numFmtId="49" fontId="15" fillId="0" borderId="22" xfId="3" applyNumberFormat="1" applyFont="1" applyBorder="1" applyAlignment="1">
      <alignment horizontal="center" vertical="center"/>
    </xf>
    <xf numFmtId="178" fontId="15" fillId="0" borderId="1" xfId="7" applyNumberFormat="1" applyFont="1" applyBorder="1" applyAlignment="1">
      <alignment horizontal="left" vertical="center" indent="1"/>
    </xf>
    <xf numFmtId="178" fontId="15" fillId="0" borderId="1" xfId="3" applyNumberFormat="1" applyFont="1" applyBorder="1" applyAlignment="1">
      <alignment horizontal="left" vertical="center" indent="1"/>
    </xf>
    <xf numFmtId="49" fontId="12" fillId="6" borderId="23" xfId="3" applyNumberFormat="1" applyFont="1" applyFill="1" applyBorder="1" applyAlignment="1">
      <alignment horizontal="center" vertical="center"/>
    </xf>
    <xf numFmtId="49" fontId="12" fillId="6" borderId="24" xfId="3" applyNumberFormat="1" applyFont="1" applyFill="1" applyBorder="1" applyAlignment="1">
      <alignment horizontal="center" vertical="center"/>
    </xf>
    <xf numFmtId="49" fontId="12" fillId="6" borderId="25" xfId="3" applyNumberFormat="1" applyFont="1" applyFill="1" applyBorder="1" applyAlignment="1">
      <alignment horizontal="center" vertical="center"/>
    </xf>
    <xf numFmtId="178" fontId="12" fillId="6" borderId="3" xfId="7" applyNumberFormat="1" applyFont="1" applyFill="1" applyBorder="1" applyAlignment="1">
      <alignment horizontal="left" vertical="center" indent="1"/>
    </xf>
    <xf numFmtId="178" fontId="12" fillId="6" borderId="3" xfId="3" applyNumberFormat="1" applyFont="1" applyFill="1" applyBorder="1" applyAlignment="1">
      <alignment horizontal="left" vertical="center" indent="1"/>
    </xf>
    <xf numFmtId="49" fontId="12" fillId="5" borderId="23" xfId="3" applyNumberFormat="1" applyFont="1" applyFill="1" applyBorder="1" applyAlignment="1">
      <alignment horizontal="center" vertical="center"/>
    </xf>
    <xf numFmtId="49" fontId="12" fillId="5" borderId="24" xfId="3" applyNumberFormat="1" applyFont="1" applyFill="1" applyBorder="1" applyAlignment="1">
      <alignment horizontal="center" vertical="center"/>
    </xf>
    <xf numFmtId="49" fontId="12" fillId="5" borderId="25" xfId="3" applyNumberFormat="1" applyFont="1" applyFill="1" applyBorder="1" applyAlignment="1">
      <alignment horizontal="center" vertical="center"/>
    </xf>
    <xf numFmtId="178" fontId="12" fillId="5" borderId="3" xfId="7" applyNumberFormat="1" applyFont="1" applyFill="1" applyBorder="1" applyAlignment="1">
      <alignment horizontal="left" vertical="center" indent="1"/>
    </xf>
    <xf numFmtId="178" fontId="12" fillId="5" borderId="3" xfId="3" applyNumberFormat="1" applyFont="1" applyFill="1" applyBorder="1" applyAlignment="1">
      <alignment horizontal="left" vertical="center" indent="1"/>
    </xf>
    <xf numFmtId="178" fontId="15" fillId="0" borderId="1" xfId="7" applyNumberFormat="1" applyFont="1" applyBorder="1" applyAlignment="1">
      <alignment horizontal="left" vertical="top"/>
    </xf>
    <xf numFmtId="49" fontId="12" fillId="5" borderId="20" xfId="3" applyNumberFormat="1" applyFont="1" applyFill="1" applyBorder="1" applyAlignment="1">
      <alignment horizontal="center" vertical="center"/>
    </xf>
    <xf numFmtId="49" fontId="12" fillId="5" borderId="21" xfId="3" applyNumberFormat="1" applyFont="1" applyFill="1" applyBorder="1" applyAlignment="1">
      <alignment horizontal="center" vertical="center"/>
    </xf>
    <xf numFmtId="49" fontId="12" fillId="5" borderId="22" xfId="3" applyNumberFormat="1" applyFont="1" applyFill="1" applyBorder="1" applyAlignment="1">
      <alignment horizontal="center" vertical="center"/>
    </xf>
    <xf numFmtId="178" fontId="12" fillId="5" borderId="1" xfId="7" applyNumberFormat="1" applyFont="1" applyFill="1" applyBorder="1" applyAlignment="1">
      <alignment horizontal="left" vertical="center" indent="1"/>
    </xf>
    <xf numFmtId="178" fontId="12" fillId="5" borderId="1" xfId="3" applyNumberFormat="1" applyFont="1" applyFill="1" applyBorder="1" applyAlignment="1">
      <alignment horizontal="left" vertical="center" indent="1"/>
    </xf>
    <xf numFmtId="178" fontId="15" fillId="0" borderId="1" xfId="7" applyNumberFormat="1" applyFont="1" applyBorder="1" applyAlignment="1">
      <alignment horizontal="center" vertical="top"/>
    </xf>
    <xf numFmtId="178" fontId="15" fillId="0" borderId="11" xfId="3" applyNumberFormat="1" applyFont="1" applyBorder="1" applyAlignment="1">
      <alignment horizontal="left" vertical="center" indent="1"/>
    </xf>
    <xf numFmtId="178" fontId="15" fillId="0" borderId="11" xfId="7" applyNumberFormat="1" applyFont="1" applyBorder="1" applyAlignment="1">
      <alignment horizontal="left" vertical="center" indent="1"/>
    </xf>
    <xf numFmtId="49" fontId="15" fillId="0" borderId="6" xfId="3" applyNumberFormat="1" applyFont="1" applyBorder="1" applyAlignment="1">
      <alignment horizontal="center" vertical="center"/>
    </xf>
    <xf numFmtId="49" fontId="15" fillId="0" borderId="8" xfId="3" applyNumberFormat="1" applyFont="1" applyBorder="1" applyAlignment="1">
      <alignment horizontal="center" vertical="center"/>
    </xf>
    <xf numFmtId="49" fontId="15" fillId="0" borderId="7" xfId="3" applyNumberFormat="1" applyFont="1" applyBorder="1" applyAlignment="1">
      <alignment horizontal="center" vertical="center"/>
    </xf>
    <xf numFmtId="178" fontId="15" fillId="0" borderId="6" xfId="7" applyNumberFormat="1" applyFont="1" applyBorder="1" applyAlignment="1">
      <alignment horizontal="left" vertical="center"/>
    </xf>
    <xf numFmtId="178" fontId="15" fillId="0" borderId="7" xfId="7" applyNumberFormat="1" applyFont="1" applyBorder="1" applyAlignment="1">
      <alignment horizontal="left" vertical="center"/>
    </xf>
    <xf numFmtId="178" fontId="15" fillId="0" borderId="6" xfId="3" applyNumberFormat="1" applyFont="1" applyBorder="1" applyAlignment="1">
      <alignment horizontal="center" vertical="center"/>
    </xf>
    <xf numFmtId="178" fontId="15" fillId="0" borderId="8" xfId="3" applyNumberFormat="1" applyFont="1" applyBorder="1" applyAlignment="1">
      <alignment horizontal="center" vertical="center"/>
    </xf>
    <xf numFmtId="178" fontId="15" fillId="0" borderId="7" xfId="3" applyNumberFormat="1" applyFont="1" applyBorder="1" applyAlignment="1">
      <alignment horizontal="center" vertical="center"/>
    </xf>
    <xf numFmtId="185" fontId="16" fillId="0" borderId="6" xfId="6" applyNumberFormat="1" applyFont="1" applyBorder="1" applyAlignment="1">
      <alignment horizontal="center" vertical="center"/>
    </xf>
    <xf numFmtId="185" fontId="16" fillId="0" borderId="8" xfId="6" applyNumberFormat="1" applyFont="1" applyBorder="1" applyAlignment="1">
      <alignment horizontal="center" vertical="center"/>
    </xf>
    <xf numFmtId="185" fontId="16" fillId="0" borderId="7" xfId="6" applyNumberFormat="1" applyFont="1" applyBorder="1" applyAlignment="1">
      <alignment horizontal="center" vertical="center"/>
    </xf>
    <xf numFmtId="183" fontId="15" fillId="0" borderId="6" xfId="8" applyNumberFormat="1" applyFont="1" applyBorder="1" applyAlignment="1">
      <alignment horizontal="center" vertical="center"/>
    </xf>
    <xf numFmtId="183" fontId="15" fillId="0" borderId="8" xfId="8" applyNumberFormat="1" applyFont="1" applyBorder="1" applyAlignment="1">
      <alignment horizontal="center" vertical="center"/>
    </xf>
    <xf numFmtId="183" fontId="15" fillId="0" borderId="7" xfId="8" applyNumberFormat="1" applyFont="1" applyBorder="1" applyAlignment="1">
      <alignment horizontal="center" vertical="center"/>
    </xf>
    <xf numFmtId="176" fontId="16" fillId="0" borderId="6" xfId="6" applyNumberFormat="1" applyFont="1" applyBorder="1" applyAlignment="1">
      <alignment horizontal="center" vertical="center"/>
    </xf>
    <xf numFmtId="176" fontId="16" fillId="0" borderId="8" xfId="6" applyNumberFormat="1" applyFont="1" applyBorder="1" applyAlignment="1">
      <alignment horizontal="center" vertical="center"/>
    </xf>
    <xf numFmtId="176" fontId="16" fillId="0" borderId="7" xfId="6" applyNumberFormat="1" applyFont="1" applyBorder="1" applyAlignment="1">
      <alignment horizontal="center" vertical="center"/>
    </xf>
    <xf numFmtId="10" fontId="15" fillId="0" borderId="6" xfId="8" applyNumberFormat="1" applyFont="1" applyBorder="1" applyAlignment="1">
      <alignment horizontal="center" vertical="center"/>
    </xf>
    <xf numFmtId="10" fontId="15" fillId="0" borderId="7" xfId="8" applyNumberFormat="1" applyFont="1" applyBorder="1" applyAlignment="1">
      <alignment horizontal="center" vertical="center"/>
    </xf>
    <xf numFmtId="0" fontId="15" fillId="0" borderId="6" xfId="3" applyFont="1" applyBorder="1" applyAlignment="1">
      <alignment horizontal="center" vertical="center"/>
    </xf>
    <xf numFmtId="0" fontId="15" fillId="0" borderId="8" xfId="3" applyFont="1" applyBorder="1" applyAlignment="1">
      <alignment horizontal="center" vertical="center"/>
    </xf>
    <xf numFmtId="178" fontId="15" fillId="0" borderId="18" xfId="7" applyNumberFormat="1" applyFont="1" applyBorder="1" applyAlignment="1">
      <alignment horizontal="left" vertical="center" indent="1"/>
    </xf>
    <xf numFmtId="178" fontId="15" fillId="0" borderId="19" xfId="7" applyNumberFormat="1" applyFont="1" applyBorder="1" applyAlignment="1">
      <alignment horizontal="left" vertical="center" indent="1"/>
    </xf>
    <xf numFmtId="178" fontId="15" fillId="0" borderId="12" xfId="3" applyNumberFormat="1" applyFont="1" applyBorder="1" applyAlignment="1">
      <alignment horizontal="left" vertical="center" indent="1"/>
    </xf>
    <xf numFmtId="0" fontId="15" fillId="0" borderId="6" xfId="3" applyFont="1" applyBorder="1" applyAlignment="1">
      <alignment horizontal="center" vertical="center" textRotation="255"/>
    </xf>
    <xf numFmtId="178" fontId="10" fillId="0" borderId="14" xfId="3" applyNumberFormat="1" applyFont="1" applyBorder="1" applyAlignment="1">
      <alignment horizontal="center" vertical="center"/>
    </xf>
    <xf numFmtId="178" fontId="10" fillId="0" borderId="15" xfId="3" applyNumberFormat="1" applyFont="1" applyBorder="1" applyAlignment="1">
      <alignment horizontal="center" vertical="center"/>
    </xf>
    <xf numFmtId="178" fontId="15" fillId="0" borderId="13" xfId="3" applyNumberFormat="1" applyFont="1" applyBorder="1" applyAlignment="1">
      <alignment horizontal="left" vertical="center" indent="1"/>
    </xf>
    <xf numFmtId="178" fontId="15" fillId="0" borderId="16" xfId="7" applyNumberFormat="1" applyFont="1" applyBorder="1" applyAlignment="1">
      <alignment horizontal="left" vertical="center" indent="1"/>
    </xf>
    <xf numFmtId="178" fontId="15" fillId="0" borderId="17" xfId="3" applyNumberFormat="1" applyFont="1" applyBorder="1" applyAlignment="1">
      <alignment horizontal="left" vertical="center" indent="1"/>
    </xf>
    <xf numFmtId="0" fontId="9" fillId="0" borderId="0" xfId="2" applyFont="1" applyAlignment="1">
      <alignment horizontal="center" vertical="center"/>
    </xf>
    <xf numFmtId="0" fontId="12" fillId="0" borderId="8" xfId="3" applyFont="1" applyBorder="1" applyAlignment="1">
      <alignment vertical="center" wrapText="1"/>
    </xf>
    <xf numFmtId="0" fontId="10" fillId="0" borderId="8" xfId="4" applyFont="1" applyBorder="1">
      <alignment vertical="center"/>
    </xf>
    <xf numFmtId="0" fontId="10" fillId="0" borderId="7" xfId="4" applyFont="1" applyBorder="1">
      <alignment vertical="center"/>
    </xf>
    <xf numFmtId="49" fontId="14" fillId="0" borderId="5" xfId="3" applyNumberFormat="1" applyFont="1" applyBorder="1" applyAlignment="1">
      <alignment horizontal="center" vertical="center"/>
    </xf>
    <xf numFmtId="179" fontId="14" fillId="0" borderId="5" xfId="3" applyNumberFormat="1" applyFont="1" applyBorder="1" applyAlignment="1">
      <alignment vertical="center" shrinkToFit="1"/>
    </xf>
    <xf numFmtId="0" fontId="10" fillId="0" borderId="5" xfId="4" applyFont="1" applyBorder="1">
      <alignment vertical="center"/>
    </xf>
    <xf numFmtId="181" fontId="14" fillId="0" borderId="5" xfId="4" applyNumberFormat="1" applyFont="1" applyBorder="1" applyAlignment="1">
      <alignment horizontal="right" vertical="center"/>
    </xf>
    <xf numFmtId="181" fontId="8" fillId="0" borderId="5" xfId="4" applyNumberFormat="1" applyBorder="1" applyAlignment="1">
      <alignment horizontal="right" vertical="center"/>
    </xf>
    <xf numFmtId="0" fontId="12" fillId="4" borderId="1" xfId="3" applyFont="1" applyFill="1" applyBorder="1" applyAlignment="1">
      <alignment horizontal="center" vertical="center"/>
    </xf>
    <xf numFmtId="0" fontId="12" fillId="4" borderId="2" xfId="3" applyFont="1" applyFill="1" applyBorder="1" applyAlignment="1">
      <alignment horizontal="center" vertical="center"/>
    </xf>
    <xf numFmtId="0" fontId="15" fillId="0" borderId="6" xfId="3" applyFont="1" applyBorder="1" applyAlignment="1">
      <alignment horizontal="center" vertical="center" textRotation="255" wrapText="1"/>
    </xf>
    <xf numFmtId="178" fontId="15" fillId="0" borderId="12" xfId="7" applyNumberFormat="1" applyFont="1" applyBorder="1" applyAlignment="1">
      <alignment horizontal="left" vertical="center" indent="1"/>
    </xf>
    <xf numFmtId="0" fontId="15" fillId="0" borderId="1" xfId="3" applyFont="1" applyBorder="1" applyAlignment="1">
      <alignment horizontal="center" vertical="center" textRotation="255"/>
    </xf>
    <xf numFmtId="178" fontId="15" fillId="0" borderId="2" xfId="3" applyNumberFormat="1" applyFont="1" applyBorder="1" applyAlignment="1">
      <alignment horizontal="left" vertical="center" indent="1"/>
    </xf>
    <xf numFmtId="49" fontId="3" fillId="0" borderId="5" xfId="0" applyNumberFormat="1" applyFont="1" applyBorder="1" applyAlignment="1">
      <alignment horizontal="left"/>
    </xf>
    <xf numFmtId="49" fontId="0" fillId="0" borderId="5" xfId="0" applyNumberFormat="1" applyBorder="1" applyAlignment="1">
      <alignment horizontal="left"/>
    </xf>
    <xf numFmtId="49" fontId="3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3" fillId="0" borderId="2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7" xfId="0" applyBorder="1" applyAlignment="1">
      <alignment horizontal="left"/>
    </xf>
    <xf numFmtId="0" fontId="3" fillId="0" borderId="0" xfId="0" applyFont="1" applyAlignment="1">
      <alignment horizontal="center"/>
    </xf>
    <xf numFmtId="49" fontId="4" fillId="0" borderId="5" xfId="0" applyNumberFormat="1" applyFont="1" applyBorder="1" applyAlignment="1">
      <alignment horizontal="left"/>
    </xf>
    <xf numFmtId="0" fontId="0" fillId="0" borderId="2" xfId="0" applyBorder="1"/>
    <xf numFmtId="0" fontId="0" fillId="0" borderId="5" xfId="0" applyBorder="1" applyAlignment="1">
      <alignment horizontal="left"/>
    </xf>
    <xf numFmtId="49" fontId="0" fillId="0" borderId="2" xfId="0" applyNumberFormat="1" applyBorder="1"/>
    <xf numFmtId="0" fontId="0" fillId="0" borderId="2" xfId="0" applyBorder="1" applyAlignment="1">
      <alignment horizontal="center"/>
    </xf>
  </cellXfs>
  <cellStyles count="10">
    <cellStyle name="백분율 2 2" xfId="8"/>
    <cellStyle name="쉼표 [0]" xfId="1" builtinId="6"/>
    <cellStyle name="쉼표 [0] 2 2 2" xfId="6"/>
    <cellStyle name="쉼표 [0] 2 3 2" xfId="9"/>
    <cellStyle name="쉼표 [0] 2 4" xfId="5"/>
    <cellStyle name="표준" xfId="0" builtinId="0"/>
    <cellStyle name="표준 2 2" xfId="4"/>
    <cellStyle name="표준_공사원가계산서(요율조정용) 2" xfId="3"/>
    <cellStyle name="표준_원가계산 2" xfId="2"/>
    <cellStyle name="표준_이지테크공사원가계산서(엑셀)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21</xdr:row>
      <xdr:rowOff>47625</xdr:rowOff>
    </xdr:from>
    <xdr:to>
      <xdr:col>1</xdr:col>
      <xdr:colOff>5467350</xdr:colOff>
      <xdr:row>31</xdr:row>
      <xdr:rowOff>190500</xdr:rowOff>
    </xdr:to>
    <xdr:sp macro="" textlink="">
      <xdr:nvSpPr>
        <xdr:cNvPr id="7175" name="Rectangle 7">
          <a:extLst>
            <a:ext uri="{FF2B5EF4-FFF2-40B4-BE49-F238E27FC236}">
              <a16:creationId xmlns:a16="http://schemas.microsoft.com/office/drawing/2014/main" id="{20C58769-A46E-4C7C-82ED-85782229D23F}"/>
            </a:ext>
          </a:extLst>
        </xdr:cNvPr>
        <xdr:cNvSpPr>
          <a:spLocks noChangeArrowheads="1"/>
        </xdr:cNvSpPr>
      </xdr:nvSpPr>
      <xdr:spPr bwMode="auto">
        <a:xfrm>
          <a:off x="942975" y="5067300"/>
          <a:ext cx="4924425" cy="2524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1</xdr:col>
      <xdr:colOff>600075</xdr:colOff>
      <xdr:row>21</xdr:row>
      <xdr:rowOff>133350</xdr:rowOff>
    </xdr:from>
    <xdr:to>
      <xdr:col>1</xdr:col>
      <xdr:colOff>2781300</xdr:colOff>
      <xdr:row>31</xdr:row>
      <xdr:rowOff>133350</xdr:rowOff>
    </xdr:to>
    <xdr:pic>
      <xdr:nvPicPr>
        <xdr:cNvPr id="7176" name="Picture 8" descr="행높이팝업">
          <a:extLst>
            <a:ext uri="{FF2B5EF4-FFF2-40B4-BE49-F238E27FC236}">
              <a16:creationId xmlns:a16="http://schemas.microsoft.com/office/drawing/2014/main" id="{E182F931-98AC-4D39-AD6F-5CF178437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5153025"/>
          <a:ext cx="2181225" cy="2381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3295650</xdr:colOff>
      <xdr:row>24</xdr:row>
      <xdr:rowOff>104775</xdr:rowOff>
    </xdr:from>
    <xdr:to>
      <xdr:col>1</xdr:col>
      <xdr:colOff>4953000</xdr:colOff>
      <xdr:row>28</xdr:row>
      <xdr:rowOff>66675</xdr:rowOff>
    </xdr:to>
    <xdr:pic>
      <xdr:nvPicPr>
        <xdr:cNvPr id="7177" name="Picture 9" descr="행높이">
          <a:extLst>
            <a:ext uri="{FF2B5EF4-FFF2-40B4-BE49-F238E27FC236}">
              <a16:creationId xmlns:a16="http://schemas.microsoft.com/office/drawing/2014/main" id="{EFF472D9-9590-410C-9E4F-78D999E33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5838825"/>
          <a:ext cx="165735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54"/>
  <sheetViews>
    <sheetView showGridLines="0" showZeros="0" tabSelected="1" view="pageBreakPreview" zoomScaleNormal="100" zoomScaleSheetLayoutView="100" workbookViewId="0">
      <selection activeCell="D7" sqref="D7"/>
    </sheetView>
  </sheetViews>
  <sheetFormatPr defaultColWidth="8.77734375" defaultRowHeight="16.5" x14ac:dyDescent="0.15"/>
  <cols>
    <col min="1" max="2" width="3.77734375" style="21" customWidth="1"/>
    <col min="3" max="3" width="16.77734375" style="21" customWidth="1"/>
    <col min="4" max="4" width="19.44140625" style="22" customWidth="1"/>
    <col min="5" max="5" width="15.77734375" style="22" customWidth="1"/>
    <col min="6" max="6" width="22.77734375" style="22" customWidth="1"/>
    <col min="7" max="8" width="14.77734375" style="22" customWidth="1"/>
    <col min="9" max="9" width="14.77734375" style="21" customWidth="1"/>
    <col min="10" max="11" width="8.77734375" style="21" hidden="1" customWidth="1"/>
    <col min="12" max="12" width="0.77734375" style="22" customWidth="1"/>
    <col min="13" max="13" width="7.77734375" style="80" customWidth="1"/>
    <col min="14" max="14" width="7.77734375" style="81" customWidth="1"/>
    <col min="15" max="15" width="23.21875" style="82" hidden="1" customWidth="1"/>
    <col min="16" max="16" width="8.77734375" style="82" hidden="1" customWidth="1"/>
    <col min="17" max="17" width="8.77734375" style="82" customWidth="1"/>
    <col min="18" max="18" width="12.44140625" style="21" customWidth="1"/>
    <col min="19" max="19" width="8.77734375" style="21" customWidth="1"/>
    <col min="20" max="20" width="12.44140625" style="21" customWidth="1"/>
    <col min="21" max="16384" width="8.77734375" style="21"/>
  </cols>
  <sheetData>
    <row r="1" spans="1:19" ht="30" customHeight="1" thickTop="1" thickBot="1" x14ac:dyDescent="0.2">
      <c r="A1" s="141" t="s">
        <v>389</v>
      </c>
      <c r="B1" s="141"/>
      <c r="C1" s="141"/>
      <c r="D1" s="141"/>
      <c r="E1" s="141"/>
      <c r="F1" s="141"/>
      <c r="G1" s="141"/>
      <c r="H1" s="141"/>
      <c r="I1" s="141"/>
      <c r="M1" s="23">
        <v>2</v>
      </c>
      <c r="N1" s="142" t="s">
        <v>390</v>
      </c>
      <c r="O1" s="143"/>
      <c r="P1" s="143"/>
      <c r="Q1" s="143"/>
      <c r="R1" s="144"/>
      <c r="S1" s="24"/>
    </row>
    <row r="2" spans="1:19" ht="21" customHeight="1" thickTop="1" x14ac:dyDescent="0.15">
      <c r="A2" s="145" t="s">
        <v>391</v>
      </c>
      <c r="B2" s="145"/>
      <c r="C2" s="146" t="str">
        <f>총괄표!D1</f>
        <v>[ 폴리텍대학교 성남캠퍼스 피지컬 AI센터 구축공사(전기) ]</v>
      </c>
      <c r="D2" s="146"/>
      <c r="E2" s="147"/>
      <c r="F2" s="147"/>
      <c r="G2" s="25"/>
      <c r="H2" s="148">
        <v>20</v>
      </c>
      <c r="I2" s="149"/>
      <c r="M2" s="26"/>
      <c r="N2" s="27"/>
      <c r="O2" s="21"/>
      <c r="P2" s="21"/>
      <c r="Q2" s="21"/>
    </row>
    <row r="3" spans="1:19" ht="16.5" customHeight="1" thickBot="1" x14ac:dyDescent="0.2">
      <c r="A3" s="150" t="s">
        <v>392</v>
      </c>
      <c r="B3" s="150"/>
      <c r="C3" s="151"/>
      <c r="D3" s="28" t="s">
        <v>393</v>
      </c>
      <c r="E3" s="151" t="s">
        <v>394</v>
      </c>
      <c r="F3" s="151"/>
      <c r="G3" s="151" t="s">
        <v>395</v>
      </c>
      <c r="H3" s="151"/>
      <c r="I3" s="151"/>
      <c r="J3" s="21" t="s">
        <v>396</v>
      </c>
      <c r="M3" s="29" t="s">
        <v>397</v>
      </c>
      <c r="N3" s="21"/>
      <c r="O3" s="21"/>
      <c r="P3" s="21"/>
      <c r="Q3" s="21"/>
    </row>
    <row r="4" spans="1:19" ht="13.5" customHeight="1" thickBot="1" x14ac:dyDescent="0.2">
      <c r="A4" s="154" t="s">
        <v>398</v>
      </c>
      <c r="B4" s="152" t="s">
        <v>399</v>
      </c>
      <c r="C4" s="30" t="s">
        <v>400</v>
      </c>
      <c r="D4" s="31"/>
      <c r="E4" s="155"/>
      <c r="F4" s="155"/>
      <c r="G4" s="155"/>
      <c r="H4" s="155"/>
      <c r="I4" s="155"/>
      <c r="J4" s="21">
        <v>1</v>
      </c>
      <c r="K4" s="21" t="s">
        <v>396</v>
      </c>
      <c r="M4" s="32" t="s">
        <v>401</v>
      </c>
      <c r="N4" s="33">
        <v>100</v>
      </c>
      <c r="O4" s="21"/>
      <c r="P4" s="21"/>
      <c r="Q4" s="21"/>
    </row>
    <row r="5" spans="1:19" ht="13.5" customHeight="1" x14ac:dyDescent="0.15">
      <c r="A5" s="154"/>
      <c r="B5" s="152"/>
      <c r="C5" s="34" t="s">
        <v>402</v>
      </c>
      <c r="D5" s="35"/>
      <c r="E5" s="110"/>
      <c r="F5" s="110"/>
      <c r="G5" s="109"/>
      <c r="H5" s="109"/>
      <c r="I5" s="109"/>
      <c r="M5" s="36"/>
      <c r="N5" s="21"/>
      <c r="O5" s="21"/>
      <c r="P5" s="21"/>
      <c r="Q5" s="21"/>
    </row>
    <row r="6" spans="1:19" ht="13.5" customHeight="1" x14ac:dyDescent="0.15">
      <c r="A6" s="154"/>
      <c r="B6" s="152"/>
      <c r="C6" s="34" t="s">
        <v>403</v>
      </c>
      <c r="D6" s="37"/>
      <c r="E6" s="110"/>
      <c r="F6" s="110"/>
      <c r="G6" s="109"/>
      <c r="H6" s="109"/>
      <c r="I6" s="109"/>
      <c r="M6" s="36"/>
      <c r="N6" s="38"/>
      <c r="O6" s="21"/>
      <c r="P6" s="39"/>
      <c r="Q6" s="21"/>
    </row>
    <row r="7" spans="1:19" ht="13.5" customHeight="1" thickBot="1" x14ac:dyDescent="0.2">
      <c r="A7" s="154"/>
      <c r="B7" s="152"/>
      <c r="C7" s="40" t="s">
        <v>404</v>
      </c>
      <c r="D7" s="41"/>
      <c r="E7" s="134"/>
      <c r="F7" s="134"/>
      <c r="G7" s="134"/>
      <c r="H7" s="134"/>
      <c r="I7" s="134"/>
      <c r="M7" s="36"/>
      <c r="N7" s="38"/>
      <c r="O7" s="21"/>
      <c r="P7" s="39"/>
      <c r="Q7" s="21"/>
    </row>
    <row r="8" spans="1:19" ht="13.5" customHeight="1" thickBot="1" x14ac:dyDescent="0.2">
      <c r="A8" s="154"/>
      <c r="B8" s="152" t="s">
        <v>405</v>
      </c>
      <c r="C8" s="42" t="s">
        <v>406</v>
      </c>
      <c r="D8" s="43"/>
      <c r="E8" s="138"/>
      <c r="F8" s="138"/>
      <c r="G8" s="138"/>
      <c r="H8" s="138"/>
      <c r="I8" s="138"/>
      <c r="J8" s="21">
        <v>1</v>
      </c>
      <c r="M8" s="44" t="s">
        <v>407</v>
      </c>
      <c r="N8" s="45">
        <v>100</v>
      </c>
      <c r="O8" s="21"/>
      <c r="P8" s="21"/>
      <c r="Q8" s="21"/>
    </row>
    <row r="9" spans="1:19" ht="13.5" customHeight="1" x14ac:dyDescent="0.15">
      <c r="A9" s="154"/>
      <c r="B9" s="152"/>
      <c r="C9" s="34" t="s">
        <v>408</v>
      </c>
      <c r="D9" s="35"/>
      <c r="E9" s="110" t="str">
        <f>IF(N9=0,0,CONCATENATE("(직접노무비) * ",N9*100," %"))</f>
        <v>(직접노무비) * 17.5 %</v>
      </c>
      <c r="F9" s="110"/>
      <c r="G9" s="109"/>
      <c r="H9" s="109"/>
      <c r="I9" s="109"/>
      <c r="J9" s="21">
        <v>1</v>
      </c>
      <c r="M9" s="46" t="s">
        <v>409</v>
      </c>
      <c r="N9" s="47">
        <v>0.17499999999999999</v>
      </c>
      <c r="O9" s="48" t="s">
        <v>410</v>
      </c>
      <c r="P9" s="21"/>
      <c r="Q9" s="21"/>
    </row>
    <row r="10" spans="1:19" ht="13.5" customHeight="1" x14ac:dyDescent="0.15">
      <c r="A10" s="154"/>
      <c r="B10" s="152"/>
      <c r="C10" s="40" t="s">
        <v>404</v>
      </c>
      <c r="D10" s="41"/>
      <c r="E10" s="153"/>
      <c r="F10" s="153"/>
      <c r="G10" s="134"/>
      <c r="H10" s="134"/>
      <c r="I10" s="134"/>
      <c r="M10" s="49"/>
      <c r="N10" s="50"/>
      <c r="O10" s="21"/>
      <c r="P10" s="21"/>
      <c r="Q10" s="21"/>
    </row>
    <row r="11" spans="1:19" ht="13.5" customHeight="1" x14ac:dyDescent="0.15">
      <c r="A11" s="154"/>
      <c r="B11" s="135" t="s">
        <v>411</v>
      </c>
      <c r="C11" s="51" t="s">
        <v>412</v>
      </c>
      <c r="D11" s="43"/>
      <c r="E11" s="136"/>
      <c r="F11" s="137"/>
      <c r="G11" s="138"/>
      <c r="H11" s="138"/>
      <c r="I11" s="138"/>
      <c r="J11" s="21">
        <v>1</v>
      </c>
      <c r="M11" s="52"/>
      <c r="N11" s="50"/>
      <c r="O11" s="21"/>
      <c r="P11" s="21"/>
      <c r="Q11" s="21"/>
    </row>
    <row r="12" spans="1:19" ht="13.5" customHeight="1" x14ac:dyDescent="0.15">
      <c r="A12" s="154"/>
      <c r="B12" s="135"/>
      <c r="C12" s="53" t="s">
        <v>413</v>
      </c>
      <c r="D12" s="35"/>
      <c r="E12" s="139"/>
      <c r="F12" s="139"/>
      <c r="G12" s="109"/>
      <c r="H12" s="109"/>
      <c r="I12" s="109"/>
      <c r="J12" s="21">
        <v>1</v>
      </c>
      <c r="M12" s="52"/>
      <c r="N12" s="50"/>
      <c r="O12" s="21"/>
      <c r="P12" s="21"/>
      <c r="Q12" s="21"/>
    </row>
    <row r="13" spans="1:19" ht="13.5" customHeight="1" x14ac:dyDescent="0.15">
      <c r="A13" s="154"/>
      <c r="B13" s="135"/>
      <c r="C13" s="53" t="s">
        <v>414</v>
      </c>
      <c r="D13" s="35"/>
      <c r="E13" s="110"/>
      <c r="F13" s="110"/>
      <c r="G13" s="109"/>
      <c r="H13" s="109"/>
      <c r="I13" s="109"/>
      <c r="J13" s="21">
        <v>1</v>
      </c>
      <c r="M13" s="52"/>
      <c r="N13" s="50"/>
      <c r="O13" s="21"/>
      <c r="P13" s="21"/>
      <c r="Q13" s="21"/>
    </row>
    <row r="14" spans="1:19" ht="13.5" customHeight="1" x14ac:dyDescent="0.15">
      <c r="A14" s="154"/>
      <c r="B14" s="135"/>
      <c r="C14" s="53" t="s">
        <v>415</v>
      </c>
      <c r="D14" s="35"/>
      <c r="E14" s="110"/>
      <c r="F14" s="110"/>
      <c r="G14" s="109"/>
      <c r="H14" s="109"/>
      <c r="I14" s="109"/>
      <c r="J14" s="21">
        <v>1</v>
      </c>
      <c r="M14" s="52"/>
      <c r="N14" s="50"/>
      <c r="O14" s="21"/>
      <c r="P14" s="21"/>
      <c r="Q14" s="21"/>
    </row>
    <row r="15" spans="1:19" ht="13.5" customHeight="1" x14ac:dyDescent="0.15">
      <c r="A15" s="154"/>
      <c r="B15" s="135"/>
      <c r="C15" s="53" t="s">
        <v>416</v>
      </c>
      <c r="D15" s="35"/>
      <c r="E15" s="110"/>
      <c r="F15" s="110"/>
      <c r="G15" s="109"/>
      <c r="H15" s="109"/>
      <c r="I15" s="109"/>
      <c r="J15" s="21">
        <v>1</v>
      </c>
      <c r="M15" s="52"/>
      <c r="N15" s="50"/>
      <c r="O15" s="21"/>
      <c r="P15" s="21"/>
      <c r="Q15" s="21"/>
    </row>
    <row r="16" spans="1:19" ht="13.5" customHeight="1" x14ac:dyDescent="0.15">
      <c r="A16" s="154"/>
      <c r="B16" s="135"/>
      <c r="C16" s="53" t="s">
        <v>417</v>
      </c>
      <c r="D16" s="35"/>
      <c r="E16" s="110" t="s">
        <v>485</v>
      </c>
      <c r="F16" s="110"/>
      <c r="G16" s="109"/>
      <c r="H16" s="109"/>
      <c r="I16" s="109"/>
      <c r="J16" s="21">
        <v>1</v>
      </c>
      <c r="M16" s="54" t="s">
        <v>418</v>
      </c>
      <c r="N16" s="55">
        <v>3.56E-2</v>
      </c>
      <c r="O16" s="56" t="s">
        <v>419</v>
      </c>
      <c r="P16" s="21"/>
      <c r="Q16" s="57" t="s">
        <v>420</v>
      </c>
    </row>
    <row r="17" spans="1:21" ht="13.5" customHeight="1" x14ac:dyDescent="0.15">
      <c r="A17" s="154"/>
      <c r="B17" s="135"/>
      <c r="C17" s="53" t="s">
        <v>421</v>
      </c>
      <c r="D17" s="35"/>
      <c r="E17" s="110" t="s">
        <v>486</v>
      </c>
      <c r="F17" s="110"/>
      <c r="G17" s="109"/>
      <c r="H17" s="109"/>
      <c r="I17" s="109"/>
      <c r="J17" s="21">
        <v>1</v>
      </c>
      <c r="M17" s="54" t="s">
        <v>422</v>
      </c>
      <c r="N17" s="55">
        <v>1.01E-2</v>
      </c>
      <c r="O17" s="56" t="s">
        <v>423</v>
      </c>
      <c r="P17" s="21"/>
      <c r="Q17" s="57" t="s">
        <v>420</v>
      </c>
    </row>
    <row r="18" spans="1:21" ht="13.5" customHeight="1" x14ac:dyDescent="0.15">
      <c r="A18" s="154"/>
      <c r="B18" s="135"/>
      <c r="C18" s="53" t="s">
        <v>424</v>
      </c>
      <c r="D18" s="35"/>
      <c r="E18" s="110">
        <v>0</v>
      </c>
      <c r="F18" s="110"/>
      <c r="G18" s="109"/>
      <c r="H18" s="109"/>
      <c r="I18" s="109"/>
      <c r="M18" s="54" t="s">
        <v>425</v>
      </c>
      <c r="N18" s="58"/>
      <c r="O18" s="56" t="s">
        <v>426</v>
      </c>
      <c r="P18" s="21"/>
      <c r="Q18" s="57" t="s">
        <v>427</v>
      </c>
    </row>
    <row r="19" spans="1:21" ht="13.5" customHeight="1" x14ac:dyDescent="0.15">
      <c r="A19" s="154"/>
      <c r="B19" s="135"/>
      <c r="C19" s="53" t="s">
        <v>428</v>
      </c>
      <c r="D19" s="35"/>
      <c r="E19" s="110">
        <v>0</v>
      </c>
      <c r="F19" s="110"/>
      <c r="G19" s="109"/>
      <c r="H19" s="109"/>
      <c r="I19" s="109"/>
      <c r="M19" s="54" t="s">
        <v>429</v>
      </c>
      <c r="N19" s="55"/>
      <c r="O19" s="56" t="s">
        <v>426</v>
      </c>
      <c r="P19" s="21"/>
      <c r="Q19" s="57" t="s">
        <v>427</v>
      </c>
    </row>
    <row r="20" spans="1:21" ht="13.5" customHeight="1" x14ac:dyDescent="0.15">
      <c r="A20" s="154"/>
      <c r="B20" s="135"/>
      <c r="C20" s="53" t="s">
        <v>430</v>
      </c>
      <c r="D20" s="35"/>
      <c r="E20" s="110">
        <v>0</v>
      </c>
      <c r="F20" s="110"/>
      <c r="G20" s="109"/>
      <c r="H20" s="109"/>
      <c r="I20" s="109"/>
      <c r="M20" s="54" t="s">
        <v>431</v>
      </c>
      <c r="N20" s="55"/>
      <c r="O20" s="56"/>
      <c r="P20" s="21"/>
      <c r="Q20" s="57" t="s">
        <v>427</v>
      </c>
    </row>
    <row r="21" spans="1:21" ht="13.5" customHeight="1" x14ac:dyDescent="0.15">
      <c r="A21" s="154"/>
      <c r="B21" s="135"/>
      <c r="C21" s="53" t="s">
        <v>432</v>
      </c>
      <c r="D21" s="35"/>
      <c r="E21" s="110" t="s">
        <v>487</v>
      </c>
      <c r="F21" s="110"/>
      <c r="G21" s="109"/>
      <c r="H21" s="109"/>
      <c r="I21" s="109"/>
      <c r="M21" s="54" t="s">
        <v>433</v>
      </c>
      <c r="N21" s="55">
        <v>2.3E-2</v>
      </c>
      <c r="O21" s="54" t="s">
        <v>434</v>
      </c>
      <c r="P21" s="56" t="s">
        <v>435</v>
      </c>
      <c r="Q21" s="57" t="s">
        <v>436</v>
      </c>
    </row>
    <row r="22" spans="1:21" ht="13.5" customHeight="1" x14ac:dyDescent="0.15">
      <c r="A22" s="154"/>
      <c r="B22" s="135"/>
      <c r="C22" s="53" t="s">
        <v>437</v>
      </c>
      <c r="D22" s="35"/>
      <c r="E22" s="110" t="s">
        <v>488</v>
      </c>
      <c r="F22" s="110"/>
      <c r="G22" s="109" t="s">
        <v>438</v>
      </c>
      <c r="H22" s="109"/>
      <c r="I22" s="109"/>
      <c r="M22" s="54" t="s">
        <v>439</v>
      </c>
      <c r="N22" s="59">
        <v>3.1099999999999999E-2</v>
      </c>
      <c r="O22" s="59">
        <v>2.93E-2</v>
      </c>
      <c r="P22" s="59">
        <v>2.93E-2</v>
      </c>
      <c r="Q22" s="59">
        <v>2.2800000000000001E-2</v>
      </c>
      <c r="R22" s="60">
        <v>4325000</v>
      </c>
      <c r="S22" s="59">
        <v>1.5900000000000001E-2</v>
      </c>
      <c r="T22" s="60">
        <v>2450000</v>
      </c>
      <c r="U22" s="57" t="s">
        <v>440</v>
      </c>
    </row>
    <row r="23" spans="1:21" ht="13.5" customHeight="1" x14ac:dyDescent="0.15">
      <c r="A23" s="154"/>
      <c r="B23" s="135"/>
      <c r="C23" s="61" t="s">
        <v>441</v>
      </c>
      <c r="D23" s="35"/>
      <c r="E23" s="110" t="s">
        <v>489</v>
      </c>
      <c r="F23" s="110"/>
      <c r="G23" s="109" t="str">
        <f>IF(D24&gt;0,"도급자관급 제외값*1.2",IF(D24&lt;1,"도급자관급 없음",0))</f>
        <v>도급자관급 없음</v>
      </c>
      <c r="H23" s="109"/>
      <c r="I23" s="109"/>
      <c r="M23" s="62"/>
      <c r="N23" s="55" t="s">
        <v>442</v>
      </c>
      <c r="O23" s="63" t="s">
        <v>443</v>
      </c>
      <c r="P23" s="56" t="s">
        <v>444</v>
      </c>
      <c r="Q23" s="128" t="s">
        <v>445</v>
      </c>
      <c r="R23" s="129"/>
      <c r="S23" s="128" t="s">
        <v>446</v>
      </c>
      <c r="T23" s="129"/>
    </row>
    <row r="24" spans="1:21" ht="13.5" customHeight="1" x14ac:dyDescent="0.15">
      <c r="A24" s="154"/>
      <c r="B24" s="135"/>
      <c r="C24" s="61" t="s">
        <v>447</v>
      </c>
      <c r="D24" s="35"/>
      <c r="E24" s="110" t="s">
        <v>488</v>
      </c>
      <c r="F24" s="110"/>
      <c r="G24" s="109">
        <f>IF(D24&gt;0,"도급자관급 포함값",0)</f>
        <v>0</v>
      </c>
      <c r="H24" s="109"/>
      <c r="I24" s="109"/>
      <c r="M24" s="21"/>
      <c r="N24" s="21"/>
      <c r="O24" s="21"/>
      <c r="P24" s="21"/>
      <c r="Q24" s="21"/>
    </row>
    <row r="25" spans="1:21" ht="13.5" customHeight="1" x14ac:dyDescent="0.15">
      <c r="A25" s="154"/>
      <c r="B25" s="135"/>
      <c r="C25" s="53" t="s">
        <v>448</v>
      </c>
      <c r="D25" s="35"/>
      <c r="E25" s="110" t="s">
        <v>490</v>
      </c>
      <c r="F25" s="110"/>
      <c r="G25" s="109"/>
      <c r="H25" s="109"/>
      <c r="I25" s="109"/>
      <c r="M25" s="54" t="s">
        <v>449</v>
      </c>
      <c r="N25" s="47">
        <v>0.05</v>
      </c>
      <c r="O25" s="48" t="s">
        <v>410</v>
      </c>
      <c r="P25" s="21"/>
      <c r="Q25" s="21"/>
    </row>
    <row r="26" spans="1:21" ht="13.5" customHeight="1" x14ac:dyDescent="0.15">
      <c r="A26" s="154"/>
      <c r="B26" s="135"/>
      <c r="C26" s="53" t="s">
        <v>450</v>
      </c>
      <c r="D26" s="35"/>
      <c r="E26" s="110">
        <v>0</v>
      </c>
      <c r="F26" s="110"/>
      <c r="G26" s="109"/>
      <c r="H26" s="109"/>
      <c r="I26" s="109"/>
      <c r="M26" s="54" t="s">
        <v>451</v>
      </c>
      <c r="N26" s="55"/>
      <c r="O26" s="21"/>
      <c r="P26" s="21"/>
      <c r="Q26" s="57" t="s">
        <v>452</v>
      </c>
    </row>
    <row r="27" spans="1:21" ht="13.5" customHeight="1" x14ac:dyDescent="0.15">
      <c r="A27" s="154"/>
      <c r="B27" s="135"/>
      <c r="C27" s="53" t="s">
        <v>453</v>
      </c>
      <c r="D27" s="35"/>
      <c r="E27" s="110" t="s">
        <v>491</v>
      </c>
      <c r="F27" s="110"/>
      <c r="G27" s="109"/>
      <c r="H27" s="109"/>
      <c r="I27" s="109"/>
      <c r="M27" s="54" t="s">
        <v>454</v>
      </c>
      <c r="N27" s="58">
        <v>6.0000000000000002E-5</v>
      </c>
      <c r="O27" s="21"/>
      <c r="P27" s="21"/>
      <c r="Q27" s="21"/>
    </row>
    <row r="28" spans="1:21" ht="13.5" customHeight="1" x14ac:dyDescent="0.15">
      <c r="A28" s="154"/>
      <c r="B28" s="135"/>
      <c r="C28" s="64" t="s">
        <v>455</v>
      </c>
      <c r="D28" s="35"/>
      <c r="E28" s="110" t="s">
        <v>492</v>
      </c>
      <c r="F28" s="110"/>
      <c r="G28" s="140"/>
      <c r="H28" s="140"/>
      <c r="I28" s="140"/>
      <c r="M28" s="54" t="s">
        <v>456</v>
      </c>
      <c r="N28" s="55">
        <v>8.9999999999999998E-4</v>
      </c>
      <c r="O28" s="21"/>
      <c r="P28" s="21"/>
      <c r="Q28" s="21"/>
    </row>
    <row r="29" spans="1:21" ht="13.5" customHeight="1" x14ac:dyDescent="0.15">
      <c r="A29" s="154"/>
      <c r="B29" s="135"/>
      <c r="C29" s="65" t="s">
        <v>404</v>
      </c>
      <c r="D29" s="41"/>
      <c r="E29" s="132"/>
      <c r="F29" s="133"/>
      <c r="G29" s="134"/>
      <c r="H29" s="134"/>
      <c r="I29" s="134"/>
      <c r="M29" s="52"/>
      <c r="N29" s="50"/>
      <c r="O29" s="21"/>
      <c r="P29" s="21"/>
      <c r="Q29" s="21"/>
    </row>
    <row r="30" spans="1:21" ht="13.5" customHeight="1" x14ac:dyDescent="0.15">
      <c r="A30" s="130" t="s">
        <v>457</v>
      </c>
      <c r="B30" s="131"/>
      <c r="C30" s="131"/>
      <c r="D30" s="66"/>
      <c r="E30" s="90" t="s">
        <v>458</v>
      </c>
      <c r="F30" s="90"/>
      <c r="G30" s="91"/>
      <c r="H30" s="91"/>
      <c r="I30" s="91"/>
      <c r="M30" s="52"/>
      <c r="N30" s="55" t="s">
        <v>442</v>
      </c>
      <c r="O30" s="21"/>
      <c r="P30" s="21"/>
      <c r="Q30" s="55" t="s">
        <v>459</v>
      </c>
    </row>
    <row r="31" spans="1:21" ht="13.5" customHeight="1" x14ac:dyDescent="0.15">
      <c r="A31" s="87" t="s">
        <v>460</v>
      </c>
      <c r="B31" s="88"/>
      <c r="C31" s="89"/>
      <c r="D31" s="66"/>
      <c r="E31" s="90" t="str">
        <f>CONCATENATE("(재료비+노무비+경비) * ",N31*100," %")</f>
        <v>(재료비+노무비+경비) * 8 %</v>
      </c>
      <c r="F31" s="90"/>
      <c r="G31" s="91"/>
      <c r="H31" s="91"/>
      <c r="I31" s="91"/>
      <c r="J31" s="21">
        <v>1</v>
      </c>
      <c r="M31" s="54" t="s">
        <v>461</v>
      </c>
      <c r="N31" s="47">
        <v>0.08</v>
      </c>
      <c r="O31" s="21"/>
      <c r="P31" s="21"/>
      <c r="Q31" s="47">
        <v>5.5E-2</v>
      </c>
    </row>
    <row r="32" spans="1:21" ht="13.5" hidden="1" customHeight="1" x14ac:dyDescent="0.15">
      <c r="A32" s="87" t="s">
        <v>462</v>
      </c>
      <c r="B32" s="88"/>
      <c r="C32" s="89"/>
      <c r="D32" s="66"/>
      <c r="E32" s="90"/>
      <c r="F32" s="90"/>
      <c r="G32" s="91"/>
      <c r="H32" s="91"/>
      <c r="I32" s="91"/>
      <c r="M32" s="67"/>
      <c r="N32" s="68"/>
      <c r="O32" s="69"/>
      <c r="P32" s="69"/>
      <c r="Q32" s="70"/>
    </row>
    <row r="33" spans="1:19" ht="13.5" customHeight="1" x14ac:dyDescent="0.15">
      <c r="A33" s="87" t="s">
        <v>463</v>
      </c>
      <c r="B33" s="88"/>
      <c r="C33" s="89"/>
      <c r="D33" s="66"/>
      <c r="E33" s="90" t="str">
        <f>CONCATENATE("(노무비+경비+일반관리비) * ",N33*100," %")</f>
        <v>(노무비+경비+일반관리비) * 10 %</v>
      </c>
      <c r="F33" s="90"/>
      <c r="G33" s="91"/>
      <c r="H33" s="91"/>
      <c r="I33" s="91"/>
      <c r="J33" s="21">
        <v>1</v>
      </c>
      <c r="M33" s="54" t="s">
        <v>464</v>
      </c>
      <c r="N33" s="122">
        <v>0.1</v>
      </c>
      <c r="O33" s="123"/>
      <c r="P33" s="123"/>
      <c r="Q33" s="124"/>
    </row>
    <row r="34" spans="1:19" ht="13.5" hidden="1" customHeight="1" x14ac:dyDescent="0.15">
      <c r="A34" s="87" t="s">
        <v>465</v>
      </c>
      <c r="B34" s="88"/>
      <c r="C34" s="89"/>
      <c r="D34" s="66"/>
      <c r="E34" s="90"/>
      <c r="F34" s="90"/>
      <c r="G34" s="91"/>
      <c r="H34" s="91"/>
      <c r="I34" s="91"/>
      <c r="M34" s="67"/>
      <c r="N34" s="50"/>
      <c r="O34" s="21"/>
      <c r="P34" s="21"/>
      <c r="Q34" s="21"/>
    </row>
    <row r="35" spans="1:19" ht="13.5" customHeight="1" x14ac:dyDescent="0.15">
      <c r="A35" s="87" t="s">
        <v>466</v>
      </c>
      <c r="B35" s="88"/>
      <c r="C35" s="89"/>
      <c r="D35" s="66"/>
      <c r="E35" s="90"/>
      <c r="F35" s="90"/>
      <c r="G35" s="91"/>
      <c r="H35" s="91"/>
      <c r="I35" s="91"/>
      <c r="M35" s="54" t="s">
        <v>467</v>
      </c>
      <c r="N35" s="125">
        <v>978</v>
      </c>
      <c r="O35" s="126"/>
      <c r="P35" s="126"/>
      <c r="Q35" s="127"/>
      <c r="R35" s="57" t="s">
        <v>468</v>
      </c>
    </row>
    <row r="36" spans="1:19" ht="13.5" customHeight="1" x14ac:dyDescent="0.15">
      <c r="A36" s="111" t="s">
        <v>469</v>
      </c>
      <c r="B36" s="112"/>
      <c r="C36" s="113"/>
      <c r="D36" s="71"/>
      <c r="E36" s="114" t="s">
        <v>470</v>
      </c>
      <c r="F36" s="115"/>
      <c r="G36" s="116" t="s">
        <v>471</v>
      </c>
      <c r="H36" s="117"/>
      <c r="I36" s="118"/>
      <c r="M36" s="54" t="s">
        <v>472</v>
      </c>
      <c r="N36" s="119">
        <v>2.6476999999999998E-3</v>
      </c>
      <c r="O36" s="120"/>
      <c r="P36" s="120"/>
      <c r="Q36" s="121"/>
      <c r="R36" s="72" t="s">
        <v>473</v>
      </c>
      <c r="S36" s="72"/>
    </row>
    <row r="37" spans="1:19" ht="13.5" customHeight="1" x14ac:dyDescent="0.15">
      <c r="A37" s="87" t="s">
        <v>474</v>
      </c>
      <c r="B37" s="88"/>
      <c r="C37" s="89"/>
      <c r="D37" s="66"/>
      <c r="E37" s="90"/>
      <c r="F37" s="90"/>
      <c r="G37" s="91"/>
      <c r="H37" s="91"/>
      <c r="I37" s="91"/>
      <c r="J37" s="21">
        <v>1</v>
      </c>
      <c r="M37" s="21"/>
      <c r="N37" s="21"/>
      <c r="O37" s="21"/>
      <c r="P37" s="21"/>
      <c r="Q37" s="21"/>
    </row>
    <row r="38" spans="1:19" ht="13.5" customHeight="1" x14ac:dyDescent="0.15">
      <c r="A38" s="103" t="s">
        <v>475</v>
      </c>
      <c r="B38" s="104"/>
      <c r="C38" s="105"/>
      <c r="D38" s="73"/>
      <c r="E38" s="106"/>
      <c r="F38" s="106"/>
      <c r="G38" s="107"/>
      <c r="H38" s="107"/>
      <c r="I38" s="107"/>
      <c r="M38" s="74"/>
      <c r="N38" s="21"/>
      <c r="O38" s="21"/>
      <c r="P38" s="21"/>
      <c r="Q38" s="21"/>
    </row>
    <row r="39" spans="1:19" ht="13.5" customHeight="1" x14ac:dyDescent="0.15">
      <c r="A39" s="87" t="s">
        <v>476</v>
      </c>
      <c r="B39" s="88"/>
      <c r="C39" s="89"/>
      <c r="D39" s="66"/>
      <c r="E39" s="108"/>
      <c r="F39" s="108"/>
      <c r="G39" s="91"/>
      <c r="H39" s="91"/>
      <c r="I39" s="91"/>
      <c r="M39" s="74"/>
      <c r="N39" s="21"/>
      <c r="O39" s="21"/>
      <c r="P39" s="21"/>
      <c r="Q39" s="21"/>
    </row>
    <row r="40" spans="1:19" ht="13.5" customHeight="1" x14ac:dyDescent="0.15">
      <c r="A40" s="87" t="s">
        <v>477</v>
      </c>
      <c r="B40" s="88"/>
      <c r="C40" s="89"/>
      <c r="D40" s="66"/>
      <c r="E40" s="102"/>
      <c r="F40" s="102"/>
      <c r="G40" s="91"/>
      <c r="H40" s="91"/>
      <c r="I40" s="91"/>
      <c r="J40" s="21">
        <v>1</v>
      </c>
      <c r="M40" s="21"/>
      <c r="N40" s="21"/>
      <c r="O40" s="21"/>
      <c r="P40" s="21"/>
      <c r="Q40" s="21"/>
    </row>
    <row r="41" spans="1:19" ht="13.5" customHeight="1" x14ac:dyDescent="0.15">
      <c r="A41" s="87" t="s">
        <v>478</v>
      </c>
      <c r="B41" s="88"/>
      <c r="C41" s="89"/>
      <c r="D41" s="75"/>
      <c r="E41" s="90"/>
      <c r="F41" s="90"/>
      <c r="G41" s="91"/>
      <c r="H41" s="91"/>
      <c r="I41" s="91"/>
      <c r="M41" s="21"/>
      <c r="N41" s="21"/>
      <c r="O41" s="21"/>
      <c r="P41" s="21"/>
      <c r="Q41" s="21"/>
    </row>
    <row r="42" spans="1:19" ht="13.5" customHeight="1" x14ac:dyDescent="0.15">
      <c r="A42" s="97" t="s">
        <v>479</v>
      </c>
      <c r="B42" s="98"/>
      <c r="C42" s="99"/>
      <c r="D42" s="76"/>
      <c r="E42" s="100"/>
      <c r="F42" s="100"/>
      <c r="G42" s="101"/>
      <c r="H42" s="101"/>
      <c r="I42" s="101"/>
      <c r="M42" s="77"/>
      <c r="N42" s="27"/>
      <c r="O42" s="21"/>
      <c r="P42" s="21"/>
      <c r="Q42" s="21"/>
    </row>
    <row r="43" spans="1:19" ht="13.5" hidden="1" customHeight="1" x14ac:dyDescent="0.15">
      <c r="A43" s="87" t="s">
        <v>480</v>
      </c>
      <c r="B43" s="88"/>
      <c r="C43" s="89"/>
      <c r="D43" s="71"/>
      <c r="E43" s="90"/>
      <c r="F43" s="90"/>
      <c r="G43" s="91"/>
      <c r="H43" s="91"/>
      <c r="I43" s="91"/>
      <c r="J43" s="21">
        <v>1</v>
      </c>
      <c r="M43" s="21"/>
      <c r="N43" s="21"/>
      <c r="O43" s="21"/>
      <c r="P43" s="21"/>
      <c r="Q43" s="21"/>
    </row>
    <row r="44" spans="1:19" ht="13.5" hidden="1" customHeight="1" x14ac:dyDescent="0.15">
      <c r="A44" s="87" t="s">
        <v>481</v>
      </c>
      <c r="B44" s="88"/>
      <c r="C44" s="89"/>
      <c r="D44" s="71"/>
      <c r="E44" s="90"/>
      <c r="F44" s="90"/>
      <c r="G44" s="91"/>
      <c r="H44" s="91"/>
      <c r="I44" s="91"/>
      <c r="J44" s="21">
        <v>1</v>
      </c>
      <c r="M44" s="21"/>
      <c r="N44" s="21"/>
      <c r="O44" s="21"/>
      <c r="P44" s="21"/>
      <c r="Q44" s="21"/>
    </row>
    <row r="45" spans="1:19" ht="13.5" customHeight="1" x14ac:dyDescent="0.15">
      <c r="A45" s="92" t="s">
        <v>482</v>
      </c>
      <c r="B45" s="93"/>
      <c r="C45" s="94"/>
      <c r="D45" s="78"/>
      <c r="E45" s="95"/>
      <c r="F45" s="95"/>
      <c r="G45" s="96"/>
      <c r="H45" s="96"/>
      <c r="I45" s="96"/>
      <c r="M45" s="77"/>
      <c r="N45" s="27"/>
      <c r="O45" s="21"/>
      <c r="P45" s="21"/>
      <c r="Q45" s="21"/>
    </row>
    <row r="46" spans="1:19" ht="15" customHeight="1" x14ac:dyDescent="0.15">
      <c r="A46" s="79"/>
      <c r="B46" s="79"/>
      <c r="C46" s="79"/>
    </row>
    <row r="47" spans="1:19" ht="14.25" customHeight="1" x14ac:dyDescent="0.15"/>
    <row r="48" spans="1:19" x14ac:dyDescent="0.15">
      <c r="A48" s="84"/>
      <c r="B48" s="85"/>
      <c r="C48" s="85"/>
      <c r="D48" s="85"/>
      <c r="E48" s="85"/>
      <c r="F48" s="85"/>
      <c r="G48" s="85"/>
      <c r="H48" s="85"/>
      <c r="I48" s="85"/>
    </row>
    <row r="49" spans="1:9" x14ac:dyDescent="0.15">
      <c r="A49" s="86"/>
      <c r="B49" s="85"/>
      <c r="C49" s="85"/>
      <c r="D49" s="85"/>
      <c r="E49" s="85"/>
      <c r="F49" s="85"/>
      <c r="G49" s="85"/>
      <c r="H49" s="85"/>
      <c r="I49" s="85"/>
    </row>
    <row r="50" spans="1:9" x14ac:dyDescent="0.15">
      <c r="I50" s="83"/>
    </row>
    <row r="54" spans="1:9" x14ac:dyDescent="0.15">
      <c r="G54" s="21"/>
    </row>
  </sheetData>
  <mergeCells count="119">
    <mergeCell ref="A1:I1"/>
    <mergeCell ref="N1:R1"/>
    <mergeCell ref="A2:B2"/>
    <mergeCell ref="C2:F2"/>
    <mergeCell ref="H2:I2"/>
    <mergeCell ref="A3:C3"/>
    <mergeCell ref="E3:F3"/>
    <mergeCell ref="G3:I3"/>
    <mergeCell ref="B8:B10"/>
    <mergeCell ref="E8:F8"/>
    <mergeCell ref="G8:I8"/>
    <mergeCell ref="E9:F9"/>
    <mergeCell ref="G9:I9"/>
    <mergeCell ref="E10:F10"/>
    <mergeCell ref="G10:I10"/>
    <mergeCell ref="A4:A29"/>
    <mergeCell ref="B4:B7"/>
    <mergeCell ref="E4:F4"/>
    <mergeCell ref="G4:I4"/>
    <mergeCell ref="E5:F5"/>
    <mergeCell ref="G5:I5"/>
    <mergeCell ref="E6:F6"/>
    <mergeCell ref="G6:I6"/>
    <mergeCell ref="E7:F7"/>
    <mergeCell ref="G7:I7"/>
    <mergeCell ref="G15:I15"/>
    <mergeCell ref="E16:F16"/>
    <mergeCell ref="G16:I16"/>
    <mergeCell ref="E17:F17"/>
    <mergeCell ref="G17:I17"/>
    <mergeCell ref="E18:F18"/>
    <mergeCell ref="G18:I18"/>
    <mergeCell ref="B11:B29"/>
    <mergeCell ref="E11:F11"/>
    <mergeCell ref="G11:I11"/>
    <mergeCell ref="E12:F12"/>
    <mergeCell ref="G12:I12"/>
    <mergeCell ref="E13:F13"/>
    <mergeCell ref="G13:I13"/>
    <mergeCell ref="E14:F14"/>
    <mergeCell ref="G14:I14"/>
    <mergeCell ref="E15:F15"/>
    <mergeCell ref="E22:F22"/>
    <mergeCell ref="G22:I22"/>
    <mergeCell ref="E23:F23"/>
    <mergeCell ref="G23:I23"/>
    <mergeCell ref="E28:F28"/>
    <mergeCell ref="G28:I28"/>
    <mergeCell ref="A30:C30"/>
    <mergeCell ref="E30:F30"/>
    <mergeCell ref="G30:I30"/>
    <mergeCell ref="A31:C31"/>
    <mergeCell ref="E31:F31"/>
    <mergeCell ref="G31:I31"/>
    <mergeCell ref="E29:F29"/>
    <mergeCell ref="G29:I29"/>
    <mergeCell ref="E24:F24"/>
    <mergeCell ref="G24:I24"/>
    <mergeCell ref="E25:F25"/>
    <mergeCell ref="Q23:R23"/>
    <mergeCell ref="S23:T23"/>
    <mergeCell ref="E19:F19"/>
    <mergeCell ref="G19:I19"/>
    <mergeCell ref="E20:F20"/>
    <mergeCell ref="G20:I20"/>
    <mergeCell ref="E21:F21"/>
    <mergeCell ref="G21:I21"/>
    <mergeCell ref="E27:F27"/>
    <mergeCell ref="G27:I27"/>
    <mergeCell ref="G25:I25"/>
    <mergeCell ref="E26:F26"/>
    <mergeCell ref="G26:I26"/>
    <mergeCell ref="A36:C36"/>
    <mergeCell ref="E36:F36"/>
    <mergeCell ref="G36:I36"/>
    <mergeCell ref="N36:Q36"/>
    <mergeCell ref="A37:C37"/>
    <mergeCell ref="E37:F37"/>
    <mergeCell ref="G37:I37"/>
    <mergeCell ref="N33:Q33"/>
    <mergeCell ref="A34:C34"/>
    <mergeCell ref="E34:F34"/>
    <mergeCell ref="G34:I34"/>
    <mergeCell ref="A35:C35"/>
    <mergeCell ref="E35:F35"/>
    <mergeCell ref="G35:I35"/>
    <mergeCell ref="N35:Q35"/>
    <mergeCell ref="A33:C33"/>
    <mergeCell ref="E33:F33"/>
    <mergeCell ref="G33:I33"/>
    <mergeCell ref="A32:C32"/>
    <mergeCell ref="E32:F32"/>
    <mergeCell ref="G32:I32"/>
    <mergeCell ref="A40:C40"/>
    <mergeCell ref="E40:F40"/>
    <mergeCell ref="G40:I40"/>
    <mergeCell ref="A41:C41"/>
    <mergeCell ref="E41:F41"/>
    <mergeCell ref="G41:I41"/>
    <mergeCell ref="A38:C38"/>
    <mergeCell ref="E38:F38"/>
    <mergeCell ref="G38:I38"/>
    <mergeCell ref="A39:C39"/>
    <mergeCell ref="E39:F39"/>
    <mergeCell ref="G39:I39"/>
    <mergeCell ref="A48:I48"/>
    <mergeCell ref="A49:I49"/>
    <mergeCell ref="A44:C44"/>
    <mergeCell ref="E44:F44"/>
    <mergeCell ref="G44:I44"/>
    <mergeCell ref="A45:C45"/>
    <mergeCell ref="E45:F45"/>
    <mergeCell ref="G45:I45"/>
    <mergeCell ref="A42:C42"/>
    <mergeCell ref="E42:F42"/>
    <mergeCell ref="G42:I42"/>
    <mergeCell ref="A43:C43"/>
    <mergeCell ref="E43:F43"/>
    <mergeCell ref="G43:I43"/>
  </mergeCells>
  <phoneticPr fontId="2" type="noConversion"/>
  <printOptions horizontalCentered="1" verticalCentered="1"/>
  <pageMargins left="0" right="0" top="0.39347222447395325" bottom="0.39347222447395325" header="0.31486111879348755" footer="0.39347222447395325"/>
  <pageSetup paperSize="9"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A107"/>
  <sheetViews>
    <sheetView view="pageBreakPreview" topLeftCell="D1" zoomScaleNormal="100" zoomScaleSheetLayoutView="100" workbookViewId="0">
      <pane ySplit="3" topLeftCell="A4" activePane="bottomLeft" state="frozen"/>
      <selection activeCell="C1" sqref="C1:T1"/>
      <selection pane="bottomLeft" activeCell="L20" sqref="L20"/>
    </sheetView>
  </sheetViews>
  <sheetFormatPr defaultColWidth="8.88671875" defaultRowHeight="20.45" customHeight="1" x14ac:dyDescent="0.15"/>
  <cols>
    <col min="1" max="1" width="5.77734375" style="1" hidden="1" customWidth="1"/>
    <col min="2" max="2" width="6.5546875" style="5" hidden="1" customWidth="1"/>
    <col min="3" max="3" width="13.6640625" style="5" hidden="1" customWidth="1"/>
    <col min="4" max="4" width="36.21875" style="5" customWidth="1"/>
    <col min="5" max="5" width="9.109375" style="1" hidden="1" customWidth="1"/>
    <col min="6" max="6" width="4.21875" style="8" customWidth="1"/>
    <col min="7" max="7" width="4.6640625" style="13" customWidth="1"/>
    <col min="8" max="8" width="13" style="13" customWidth="1"/>
    <col min="9" max="9" width="13.109375" style="13" customWidth="1"/>
    <col min="10" max="10" width="5.109375" style="13" hidden="1" customWidth="1"/>
    <col min="11" max="11" width="11.21875" style="13" bestFit="1" customWidth="1"/>
    <col min="12" max="12" width="11.5546875" style="13" customWidth="1"/>
    <col min="13" max="14" width="9.44140625" style="13" customWidth="1"/>
    <col min="15" max="15" width="8.77734375" style="13" hidden="1" customWidth="1"/>
    <col min="16" max="16" width="13.21875" style="13" customWidth="1"/>
    <col min="17" max="17" width="10.44140625" style="5" customWidth="1"/>
    <col min="18" max="16384" width="8.88671875" style="1"/>
  </cols>
  <sheetData>
    <row r="1" spans="1:27" ht="20.45" customHeight="1" x14ac:dyDescent="0.15">
      <c r="A1" s="1" t="s">
        <v>238</v>
      </c>
      <c r="B1" s="5" t="s">
        <v>386</v>
      </c>
      <c r="C1" s="5" t="s">
        <v>379</v>
      </c>
      <c r="D1" s="156" t="s">
        <v>483</v>
      </c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AA1" s="1" t="s">
        <v>70</v>
      </c>
    </row>
    <row r="2" spans="1:27" s="6" customFormat="1" ht="20.45" customHeight="1" x14ac:dyDescent="0.15">
      <c r="A2" s="158" t="s">
        <v>29</v>
      </c>
      <c r="B2" s="158" t="s">
        <v>6</v>
      </c>
      <c r="C2" s="158" t="s">
        <v>13</v>
      </c>
      <c r="D2" s="159" t="s">
        <v>32</v>
      </c>
      <c r="E2" s="161" t="s">
        <v>7</v>
      </c>
      <c r="F2" s="161" t="s">
        <v>0</v>
      </c>
      <c r="G2" s="163" t="s">
        <v>1</v>
      </c>
      <c r="H2" s="163" t="s">
        <v>8</v>
      </c>
      <c r="I2" s="163"/>
      <c r="J2" s="163" t="s">
        <v>9</v>
      </c>
      <c r="K2" s="163"/>
      <c r="L2" s="163"/>
      <c r="M2" s="163" t="s">
        <v>10</v>
      </c>
      <c r="N2" s="163"/>
      <c r="O2" s="18"/>
      <c r="P2" s="163" t="s">
        <v>14</v>
      </c>
      <c r="Q2" s="159" t="s">
        <v>12</v>
      </c>
    </row>
    <row r="3" spans="1:27" s="6" customFormat="1" ht="20.45" customHeight="1" x14ac:dyDescent="0.15">
      <c r="A3" s="158"/>
      <c r="B3" s="158"/>
      <c r="C3" s="158"/>
      <c r="D3" s="160"/>
      <c r="E3" s="162"/>
      <c r="F3" s="162"/>
      <c r="G3" s="164"/>
      <c r="H3" s="20" t="s">
        <v>15</v>
      </c>
      <c r="I3" s="20" t="s">
        <v>16</v>
      </c>
      <c r="J3" s="20" t="s">
        <v>1</v>
      </c>
      <c r="K3" s="20" t="s">
        <v>15</v>
      </c>
      <c r="L3" s="20" t="s">
        <v>16</v>
      </c>
      <c r="M3" s="20" t="s">
        <v>17</v>
      </c>
      <c r="N3" s="20" t="s">
        <v>16</v>
      </c>
      <c r="O3" s="20" t="s">
        <v>18</v>
      </c>
      <c r="P3" s="164"/>
      <c r="Q3" s="160"/>
    </row>
    <row r="4" spans="1:27" ht="20.45" customHeight="1" x14ac:dyDescent="0.15">
      <c r="B4" s="5" t="s">
        <v>240</v>
      </c>
      <c r="D4" s="165" t="s">
        <v>484</v>
      </c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7"/>
    </row>
    <row r="5" spans="1:27" ht="20.45" customHeight="1" x14ac:dyDescent="0.15">
      <c r="B5" s="5" t="s">
        <v>380</v>
      </c>
      <c r="D5" s="4" t="s">
        <v>381</v>
      </c>
      <c r="E5" s="7"/>
      <c r="F5" s="9" t="s">
        <v>242</v>
      </c>
      <c r="G5" s="14">
        <v>1</v>
      </c>
      <c r="H5" s="14">
        <f>총괄표!I81</f>
        <v>0</v>
      </c>
      <c r="I5" s="14">
        <f t="shared" ref="I5:I28" si="0">G5*H5</f>
        <v>0</v>
      </c>
      <c r="J5" s="14"/>
      <c r="K5" s="14">
        <f>총괄표!L81</f>
        <v>0</v>
      </c>
      <c r="L5" s="14">
        <f t="shared" ref="L5:L28" si="1">G5*K5</f>
        <v>0</v>
      </c>
      <c r="M5" s="14">
        <f>총괄표!N81</f>
        <v>0</v>
      </c>
      <c r="N5" s="14">
        <f t="shared" ref="N5:N28" si="2">G5*M5</f>
        <v>0</v>
      </c>
      <c r="O5" s="14"/>
      <c r="P5" s="14">
        <f t="shared" ref="P5:P28" si="3">SUM(I5,L5,N5)</f>
        <v>0</v>
      </c>
      <c r="Q5" s="4"/>
    </row>
    <row r="6" spans="1:27" ht="20.45" customHeight="1" x14ac:dyDescent="0.15">
      <c r="D6" s="4"/>
      <c r="E6" s="7"/>
      <c r="F6" s="9"/>
      <c r="G6" s="14"/>
      <c r="H6" s="14"/>
      <c r="I6" s="14">
        <f t="shared" si="0"/>
        <v>0</v>
      </c>
      <c r="J6" s="14"/>
      <c r="K6" s="14"/>
      <c r="L6" s="14">
        <f t="shared" si="1"/>
        <v>0</v>
      </c>
      <c r="M6" s="14"/>
      <c r="N6" s="14">
        <f t="shared" si="2"/>
        <v>0</v>
      </c>
      <c r="O6" s="14"/>
      <c r="P6" s="14">
        <f t="shared" si="3"/>
        <v>0</v>
      </c>
      <c r="Q6" s="4"/>
    </row>
    <row r="7" spans="1:27" ht="20.45" customHeight="1" x14ac:dyDescent="0.15">
      <c r="D7" s="4"/>
      <c r="E7" s="7"/>
      <c r="F7" s="9"/>
      <c r="G7" s="14"/>
      <c r="H7" s="14"/>
      <c r="I7" s="14">
        <f t="shared" si="0"/>
        <v>0</v>
      </c>
      <c r="J7" s="14"/>
      <c r="K7" s="14"/>
      <c r="L7" s="14">
        <f t="shared" si="1"/>
        <v>0</v>
      </c>
      <c r="M7" s="14"/>
      <c r="N7" s="14">
        <f t="shared" si="2"/>
        <v>0</v>
      </c>
      <c r="O7" s="14"/>
      <c r="P7" s="14">
        <f t="shared" si="3"/>
        <v>0</v>
      </c>
      <c r="Q7" s="4"/>
    </row>
    <row r="8" spans="1:27" ht="20.45" customHeight="1" x14ac:dyDescent="0.15">
      <c r="D8" s="4"/>
      <c r="E8" s="7"/>
      <c r="F8" s="9"/>
      <c r="G8" s="14"/>
      <c r="H8" s="14"/>
      <c r="I8" s="14">
        <f t="shared" si="0"/>
        <v>0</v>
      </c>
      <c r="J8" s="14"/>
      <c r="K8" s="14"/>
      <c r="L8" s="14">
        <f t="shared" si="1"/>
        <v>0</v>
      </c>
      <c r="M8" s="14"/>
      <c r="N8" s="14">
        <f t="shared" si="2"/>
        <v>0</v>
      </c>
      <c r="O8" s="14"/>
      <c r="P8" s="14">
        <f t="shared" si="3"/>
        <v>0</v>
      </c>
      <c r="Q8" s="4"/>
    </row>
    <row r="9" spans="1:27" ht="20.45" customHeight="1" x14ac:dyDescent="0.15">
      <c r="D9" s="4"/>
      <c r="E9" s="7"/>
      <c r="F9" s="9"/>
      <c r="G9" s="14"/>
      <c r="H9" s="14"/>
      <c r="I9" s="14">
        <f t="shared" si="0"/>
        <v>0</v>
      </c>
      <c r="J9" s="14"/>
      <c r="K9" s="14"/>
      <c r="L9" s="14">
        <f t="shared" si="1"/>
        <v>0</v>
      </c>
      <c r="M9" s="14"/>
      <c r="N9" s="14">
        <f t="shared" si="2"/>
        <v>0</v>
      </c>
      <c r="O9" s="14"/>
      <c r="P9" s="14">
        <f t="shared" si="3"/>
        <v>0</v>
      </c>
      <c r="Q9" s="4"/>
    </row>
    <row r="10" spans="1:27" ht="20.45" customHeight="1" x14ac:dyDescent="0.15">
      <c r="D10" s="4"/>
      <c r="E10" s="7"/>
      <c r="F10" s="9"/>
      <c r="G10" s="14"/>
      <c r="H10" s="14"/>
      <c r="I10" s="14">
        <f t="shared" si="0"/>
        <v>0</v>
      </c>
      <c r="J10" s="14"/>
      <c r="K10" s="14"/>
      <c r="L10" s="14">
        <f t="shared" si="1"/>
        <v>0</v>
      </c>
      <c r="M10" s="14"/>
      <c r="N10" s="14">
        <f t="shared" si="2"/>
        <v>0</v>
      </c>
      <c r="O10" s="14"/>
      <c r="P10" s="14">
        <f t="shared" si="3"/>
        <v>0</v>
      </c>
      <c r="Q10" s="4"/>
    </row>
    <row r="11" spans="1:27" ht="20.45" customHeight="1" x14ac:dyDescent="0.15">
      <c r="D11" s="4"/>
      <c r="E11" s="7"/>
      <c r="F11" s="9"/>
      <c r="G11" s="14"/>
      <c r="H11" s="14"/>
      <c r="I11" s="14">
        <f t="shared" si="0"/>
        <v>0</v>
      </c>
      <c r="J11" s="14"/>
      <c r="K11" s="14"/>
      <c r="L11" s="14">
        <f t="shared" si="1"/>
        <v>0</v>
      </c>
      <c r="M11" s="14"/>
      <c r="N11" s="14">
        <f t="shared" si="2"/>
        <v>0</v>
      </c>
      <c r="O11" s="14"/>
      <c r="P11" s="14">
        <f t="shared" si="3"/>
        <v>0</v>
      </c>
      <c r="Q11" s="4"/>
    </row>
    <row r="12" spans="1:27" ht="20.45" customHeight="1" x14ac:dyDescent="0.15">
      <c r="D12" s="4"/>
      <c r="E12" s="7"/>
      <c r="F12" s="9"/>
      <c r="G12" s="14"/>
      <c r="H12" s="14"/>
      <c r="I12" s="14">
        <f t="shared" si="0"/>
        <v>0</v>
      </c>
      <c r="J12" s="14"/>
      <c r="K12" s="14"/>
      <c r="L12" s="14">
        <f t="shared" si="1"/>
        <v>0</v>
      </c>
      <c r="M12" s="14"/>
      <c r="N12" s="14">
        <f t="shared" si="2"/>
        <v>0</v>
      </c>
      <c r="O12" s="14"/>
      <c r="P12" s="14">
        <f t="shared" si="3"/>
        <v>0</v>
      </c>
      <c r="Q12" s="4"/>
    </row>
    <row r="13" spans="1:27" ht="20.45" customHeight="1" x14ac:dyDescent="0.15">
      <c r="D13" s="4"/>
      <c r="E13" s="7"/>
      <c r="F13" s="9"/>
      <c r="G13" s="14"/>
      <c r="H13" s="14"/>
      <c r="I13" s="14">
        <f t="shared" si="0"/>
        <v>0</v>
      </c>
      <c r="J13" s="14"/>
      <c r="K13" s="14"/>
      <c r="L13" s="14">
        <f t="shared" si="1"/>
        <v>0</v>
      </c>
      <c r="M13" s="14"/>
      <c r="N13" s="14">
        <f t="shared" si="2"/>
        <v>0</v>
      </c>
      <c r="O13" s="14"/>
      <c r="P13" s="14">
        <f t="shared" si="3"/>
        <v>0</v>
      </c>
      <c r="Q13" s="4"/>
    </row>
    <row r="14" spans="1:27" ht="20.45" customHeight="1" x14ac:dyDescent="0.15">
      <c r="D14" s="4"/>
      <c r="E14" s="7"/>
      <c r="F14" s="9"/>
      <c r="G14" s="14"/>
      <c r="H14" s="14"/>
      <c r="I14" s="14">
        <f t="shared" si="0"/>
        <v>0</v>
      </c>
      <c r="J14" s="14"/>
      <c r="K14" s="14"/>
      <c r="L14" s="14">
        <f t="shared" si="1"/>
        <v>0</v>
      </c>
      <c r="M14" s="14"/>
      <c r="N14" s="14">
        <f t="shared" si="2"/>
        <v>0</v>
      </c>
      <c r="O14" s="14"/>
      <c r="P14" s="14">
        <f t="shared" si="3"/>
        <v>0</v>
      </c>
      <c r="Q14" s="4"/>
    </row>
    <row r="15" spans="1:27" ht="20.45" customHeight="1" x14ac:dyDescent="0.15">
      <c r="D15" s="4"/>
      <c r="E15" s="7"/>
      <c r="F15" s="9"/>
      <c r="G15" s="14"/>
      <c r="H15" s="14"/>
      <c r="I15" s="14">
        <f t="shared" si="0"/>
        <v>0</v>
      </c>
      <c r="J15" s="14"/>
      <c r="K15" s="14"/>
      <c r="L15" s="14">
        <f t="shared" si="1"/>
        <v>0</v>
      </c>
      <c r="M15" s="14"/>
      <c r="N15" s="14">
        <f t="shared" si="2"/>
        <v>0</v>
      </c>
      <c r="O15" s="14"/>
      <c r="P15" s="14">
        <f t="shared" si="3"/>
        <v>0</v>
      </c>
      <c r="Q15" s="4"/>
    </row>
    <row r="16" spans="1:27" ht="20.45" customHeight="1" x14ac:dyDescent="0.15">
      <c r="D16" s="4"/>
      <c r="E16" s="7"/>
      <c r="F16" s="9"/>
      <c r="G16" s="14"/>
      <c r="H16" s="14"/>
      <c r="I16" s="14">
        <f t="shared" si="0"/>
        <v>0</v>
      </c>
      <c r="J16" s="14"/>
      <c r="K16" s="14"/>
      <c r="L16" s="14">
        <f t="shared" si="1"/>
        <v>0</v>
      </c>
      <c r="M16" s="14"/>
      <c r="N16" s="14">
        <f t="shared" si="2"/>
        <v>0</v>
      </c>
      <c r="O16" s="14"/>
      <c r="P16" s="14">
        <f t="shared" si="3"/>
        <v>0</v>
      </c>
      <c r="Q16" s="4"/>
    </row>
    <row r="17" spans="2:17" ht="20.45" customHeight="1" x14ac:dyDescent="0.15">
      <c r="D17" s="4"/>
      <c r="E17" s="7"/>
      <c r="F17" s="9"/>
      <c r="G17" s="14"/>
      <c r="H17" s="14"/>
      <c r="I17" s="14">
        <f t="shared" si="0"/>
        <v>0</v>
      </c>
      <c r="J17" s="14"/>
      <c r="K17" s="14"/>
      <c r="L17" s="14">
        <f t="shared" si="1"/>
        <v>0</v>
      </c>
      <c r="M17" s="14"/>
      <c r="N17" s="14">
        <f t="shared" si="2"/>
        <v>0</v>
      </c>
      <c r="O17" s="14"/>
      <c r="P17" s="14">
        <f t="shared" si="3"/>
        <v>0</v>
      </c>
      <c r="Q17" s="4"/>
    </row>
    <row r="18" spans="2:17" ht="20.45" customHeight="1" x14ac:dyDescent="0.15">
      <c r="D18" s="4"/>
      <c r="E18" s="7"/>
      <c r="F18" s="9"/>
      <c r="G18" s="14"/>
      <c r="H18" s="14"/>
      <c r="I18" s="14">
        <f t="shared" si="0"/>
        <v>0</v>
      </c>
      <c r="J18" s="14"/>
      <c r="K18" s="14"/>
      <c r="L18" s="14">
        <f t="shared" si="1"/>
        <v>0</v>
      </c>
      <c r="M18" s="14"/>
      <c r="N18" s="14">
        <f t="shared" si="2"/>
        <v>0</v>
      </c>
      <c r="O18" s="14"/>
      <c r="P18" s="14">
        <f t="shared" si="3"/>
        <v>0</v>
      </c>
      <c r="Q18" s="4"/>
    </row>
    <row r="19" spans="2:17" ht="20.45" customHeight="1" x14ac:dyDescent="0.15">
      <c r="D19" s="4"/>
      <c r="E19" s="7"/>
      <c r="F19" s="9"/>
      <c r="G19" s="14"/>
      <c r="H19" s="14"/>
      <c r="I19" s="14">
        <f t="shared" si="0"/>
        <v>0</v>
      </c>
      <c r="J19" s="14"/>
      <c r="K19" s="14"/>
      <c r="L19" s="14">
        <f t="shared" si="1"/>
        <v>0</v>
      </c>
      <c r="M19" s="14"/>
      <c r="N19" s="14">
        <f t="shared" si="2"/>
        <v>0</v>
      </c>
      <c r="O19" s="14"/>
      <c r="P19" s="14">
        <f t="shared" si="3"/>
        <v>0</v>
      </c>
      <c r="Q19" s="4"/>
    </row>
    <row r="20" spans="2:17" ht="20.45" customHeight="1" x14ac:dyDescent="0.15">
      <c r="D20" s="4"/>
      <c r="E20" s="7"/>
      <c r="F20" s="9"/>
      <c r="G20" s="14"/>
      <c r="H20" s="14"/>
      <c r="I20" s="14">
        <f t="shared" si="0"/>
        <v>0</v>
      </c>
      <c r="J20" s="14"/>
      <c r="K20" s="14"/>
      <c r="L20" s="14">
        <f t="shared" si="1"/>
        <v>0</v>
      </c>
      <c r="M20" s="14"/>
      <c r="N20" s="14">
        <f t="shared" si="2"/>
        <v>0</v>
      </c>
      <c r="O20" s="14"/>
      <c r="P20" s="14">
        <f t="shared" si="3"/>
        <v>0</v>
      </c>
      <c r="Q20" s="4"/>
    </row>
    <row r="21" spans="2:17" ht="20.45" customHeight="1" x14ac:dyDescent="0.15">
      <c r="D21" s="4"/>
      <c r="E21" s="7"/>
      <c r="F21" s="9"/>
      <c r="G21" s="14"/>
      <c r="H21" s="14"/>
      <c r="I21" s="14">
        <f t="shared" si="0"/>
        <v>0</v>
      </c>
      <c r="J21" s="14"/>
      <c r="K21" s="14"/>
      <c r="L21" s="14">
        <f t="shared" si="1"/>
        <v>0</v>
      </c>
      <c r="M21" s="14"/>
      <c r="N21" s="14">
        <f t="shared" si="2"/>
        <v>0</v>
      </c>
      <c r="O21" s="14"/>
      <c r="P21" s="14">
        <f t="shared" si="3"/>
        <v>0</v>
      </c>
      <c r="Q21" s="4"/>
    </row>
    <row r="22" spans="2:17" ht="20.45" customHeight="1" x14ac:dyDescent="0.15">
      <c r="D22" s="4"/>
      <c r="E22" s="7"/>
      <c r="F22" s="9"/>
      <c r="G22" s="14"/>
      <c r="H22" s="14"/>
      <c r="I22" s="14">
        <f t="shared" si="0"/>
        <v>0</v>
      </c>
      <c r="J22" s="14"/>
      <c r="K22" s="14"/>
      <c r="L22" s="14">
        <f t="shared" si="1"/>
        <v>0</v>
      </c>
      <c r="M22" s="14"/>
      <c r="N22" s="14">
        <f t="shared" si="2"/>
        <v>0</v>
      </c>
      <c r="O22" s="14"/>
      <c r="P22" s="14">
        <f t="shared" si="3"/>
        <v>0</v>
      </c>
      <c r="Q22" s="4"/>
    </row>
    <row r="23" spans="2:17" ht="20.45" customHeight="1" x14ac:dyDescent="0.15">
      <c r="D23" s="4"/>
      <c r="E23" s="7"/>
      <c r="F23" s="9"/>
      <c r="G23" s="14"/>
      <c r="H23" s="14"/>
      <c r="I23" s="14">
        <f t="shared" si="0"/>
        <v>0</v>
      </c>
      <c r="J23" s="14"/>
      <c r="K23" s="14"/>
      <c r="L23" s="14">
        <f t="shared" si="1"/>
        <v>0</v>
      </c>
      <c r="M23" s="14"/>
      <c r="N23" s="14">
        <f t="shared" si="2"/>
        <v>0</v>
      </c>
      <c r="O23" s="14"/>
      <c r="P23" s="14">
        <f t="shared" si="3"/>
        <v>0</v>
      </c>
      <c r="Q23" s="4"/>
    </row>
    <row r="24" spans="2:17" ht="20.45" customHeight="1" x14ac:dyDescent="0.15">
      <c r="D24" s="4"/>
      <c r="E24" s="7"/>
      <c r="F24" s="9"/>
      <c r="G24" s="14"/>
      <c r="H24" s="14"/>
      <c r="I24" s="14">
        <f t="shared" si="0"/>
        <v>0</v>
      </c>
      <c r="J24" s="14"/>
      <c r="K24" s="14"/>
      <c r="L24" s="14">
        <f t="shared" si="1"/>
        <v>0</v>
      </c>
      <c r="M24" s="14"/>
      <c r="N24" s="14">
        <f t="shared" si="2"/>
        <v>0</v>
      </c>
      <c r="O24" s="14"/>
      <c r="P24" s="14">
        <f t="shared" si="3"/>
        <v>0</v>
      </c>
      <c r="Q24" s="4"/>
    </row>
    <row r="25" spans="2:17" ht="20.45" customHeight="1" x14ac:dyDescent="0.15">
      <c r="D25" s="4"/>
      <c r="E25" s="7"/>
      <c r="F25" s="9"/>
      <c r="G25" s="14"/>
      <c r="H25" s="14"/>
      <c r="I25" s="14">
        <f t="shared" si="0"/>
        <v>0</v>
      </c>
      <c r="J25" s="14"/>
      <c r="K25" s="14"/>
      <c r="L25" s="14">
        <f t="shared" si="1"/>
        <v>0</v>
      </c>
      <c r="M25" s="14"/>
      <c r="N25" s="14">
        <f t="shared" si="2"/>
        <v>0</v>
      </c>
      <c r="O25" s="14"/>
      <c r="P25" s="14">
        <f t="shared" si="3"/>
        <v>0</v>
      </c>
      <c r="Q25" s="4"/>
    </row>
    <row r="26" spans="2:17" ht="20.45" customHeight="1" x14ac:dyDescent="0.15">
      <c r="D26" s="4"/>
      <c r="E26" s="7"/>
      <c r="F26" s="9"/>
      <c r="G26" s="14"/>
      <c r="H26" s="14"/>
      <c r="I26" s="14">
        <f t="shared" si="0"/>
        <v>0</v>
      </c>
      <c r="J26" s="14"/>
      <c r="K26" s="14"/>
      <c r="L26" s="14">
        <f t="shared" si="1"/>
        <v>0</v>
      </c>
      <c r="M26" s="14"/>
      <c r="N26" s="14">
        <f t="shared" si="2"/>
        <v>0</v>
      </c>
      <c r="O26" s="14"/>
      <c r="P26" s="14">
        <f t="shared" si="3"/>
        <v>0</v>
      </c>
      <c r="Q26" s="4"/>
    </row>
    <row r="27" spans="2:17" ht="20.45" customHeight="1" x14ac:dyDescent="0.15">
      <c r="D27" s="4"/>
      <c r="E27" s="7"/>
      <c r="F27" s="9"/>
      <c r="G27" s="14"/>
      <c r="H27" s="14"/>
      <c r="I27" s="14">
        <f t="shared" si="0"/>
        <v>0</v>
      </c>
      <c r="J27" s="14"/>
      <c r="K27" s="14"/>
      <c r="L27" s="14">
        <f t="shared" si="1"/>
        <v>0</v>
      </c>
      <c r="M27" s="14"/>
      <c r="N27" s="14">
        <f t="shared" si="2"/>
        <v>0</v>
      </c>
      <c r="O27" s="14"/>
      <c r="P27" s="14">
        <f t="shared" si="3"/>
        <v>0</v>
      </c>
      <c r="Q27" s="4"/>
    </row>
    <row r="28" spans="2:17" ht="20.45" customHeight="1" x14ac:dyDescent="0.15">
      <c r="D28" s="4"/>
      <c r="E28" s="7"/>
      <c r="F28" s="9"/>
      <c r="G28" s="14"/>
      <c r="H28" s="14"/>
      <c r="I28" s="14">
        <f t="shared" si="0"/>
        <v>0</v>
      </c>
      <c r="J28" s="14"/>
      <c r="K28" s="14"/>
      <c r="L28" s="14">
        <f t="shared" si="1"/>
        <v>0</v>
      </c>
      <c r="M28" s="14"/>
      <c r="N28" s="14">
        <f t="shared" si="2"/>
        <v>0</v>
      </c>
      <c r="O28" s="14"/>
      <c r="P28" s="14">
        <f t="shared" si="3"/>
        <v>0</v>
      </c>
      <c r="Q28" s="4"/>
    </row>
    <row r="29" spans="2:17" ht="20.45" customHeight="1" x14ac:dyDescent="0.15">
      <c r="C29" s="5" t="s">
        <v>382</v>
      </c>
      <c r="D29" s="4" t="s">
        <v>343</v>
      </c>
      <c r="E29" s="7"/>
      <c r="F29" s="9"/>
      <c r="G29" s="14"/>
      <c r="H29" s="14"/>
      <c r="I29" s="14">
        <f>TRUNC(SUM(I4:I28))</f>
        <v>0</v>
      </c>
      <c r="J29" s="14"/>
      <c r="K29" s="14"/>
      <c r="L29" s="14">
        <f>TRUNC(SUM(L4:L28))</f>
        <v>0</v>
      </c>
      <c r="M29" s="14"/>
      <c r="N29" s="14">
        <f>TRUNC(SUM(N4:N28))</f>
        <v>0</v>
      </c>
      <c r="O29" s="14"/>
      <c r="P29" s="14">
        <f>TRUNC(SUM(P4:P28))</f>
        <v>0</v>
      </c>
      <c r="Q29" s="4"/>
    </row>
    <row r="30" spans="2:17" ht="20.45" customHeight="1" x14ac:dyDescent="0.15">
      <c r="B30" s="5" t="s">
        <v>240</v>
      </c>
      <c r="D30" s="165" t="s">
        <v>387</v>
      </c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7"/>
    </row>
    <row r="31" spans="2:17" ht="20.45" customHeight="1" x14ac:dyDescent="0.15">
      <c r="B31" s="5" t="s">
        <v>383</v>
      </c>
      <c r="D31" s="4" t="s">
        <v>384</v>
      </c>
      <c r="E31" s="7"/>
      <c r="F31" s="9" t="s">
        <v>242</v>
      </c>
      <c r="G31" s="14">
        <v>1</v>
      </c>
      <c r="H31" s="14">
        <f>총괄표!I107</f>
        <v>0</v>
      </c>
      <c r="I31" s="14">
        <f t="shared" ref="I31:I54" si="4">G31*H31</f>
        <v>0</v>
      </c>
      <c r="J31" s="14"/>
      <c r="K31" s="14">
        <f>총괄표!L107</f>
        <v>0</v>
      </c>
      <c r="L31" s="14">
        <f t="shared" ref="L31:L54" si="5">G31*K31</f>
        <v>0</v>
      </c>
      <c r="M31" s="14">
        <f>총괄표!N107</f>
        <v>0</v>
      </c>
      <c r="N31" s="14">
        <f t="shared" ref="N31:N54" si="6">G31*M31</f>
        <v>0</v>
      </c>
      <c r="O31" s="14"/>
      <c r="P31" s="14">
        <f t="shared" ref="P31:P54" si="7">SUM(I31,L31,N31)</f>
        <v>0</v>
      </c>
      <c r="Q31" s="4"/>
    </row>
    <row r="32" spans="2:17" ht="20.45" customHeight="1" x14ac:dyDescent="0.15">
      <c r="D32" s="4"/>
      <c r="E32" s="7"/>
      <c r="F32" s="9"/>
      <c r="G32" s="14"/>
      <c r="H32" s="14"/>
      <c r="I32" s="14">
        <f t="shared" si="4"/>
        <v>0</v>
      </c>
      <c r="J32" s="14"/>
      <c r="K32" s="14"/>
      <c r="L32" s="14">
        <f t="shared" si="5"/>
        <v>0</v>
      </c>
      <c r="M32" s="14"/>
      <c r="N32" s="14">
        <f t="shared" si="6"/>
        <v>0</v>
      </c>
      <c r="O32" s="14"/>
      <c r="P32" s="14">
        <f t="shared" si="7"/>
        <v>0</v>
      </c>
      <c r="Q32" s="4"/>
    </row>
    <row r="33" spans="4:17" ht="20.45" customHeight="1" x14ac:dyDescent="0.15">
      <c r="D33" s="4"/>
      <c r="E33" s="7"/>
      <c r="F33" s="9"/>
      <c r="G33" s="14"/>
      <c r="H33" s="14"/>
      <c r="I33" s="14">
        <f t="shared" si="4"/>
        <v>0</v>
      </c>
      <c r="J33" s="14"/>
      <c r="K33" s="14"/>
      <c r="L33" s="14">
        <f t="shared" si="5"/>
        <v>0</v>
      </c>
      <c r="M33" s="14"/>
      <c r="N33" s="14">
        <f t="shared" si="6"/>
        <v>0</v>
      </c>
      <c r="O33" s="14"/>
      <c r="P33" s="14">
        <f t="shared" si="7"/>
        <v>0</v>
      </c>
      <c r="Q33" s="4"/>
    </row>
    <row r="34" spans="4:17" ht="20.45" customHeight="1" x14ac:dyDescent="0.15">
      <c r="D34" s="4"/>
      <c r="E34" s="7"/>
      <c r="F34" s="9"/>
      <c r="G34" s="14"/>
      <c r="H34" s="14"/>
      <c r="I34" s="14">
        <f t="shared" si="4"/>
        <v>0</v>
      </c>
      <c r="J34" s="14"/>
      <c r="K34" s="14"/>
      <c r="L34" s="14">
        <f t="shared" si="5"/>
        <v>0</v>
      </c>
      <c r="M34" s="14"/>
      <c r="N34" s="14">
        <f t="shared" si="6"/>
        <v>0</v>
      </c>
      <c r="O34" s="14"/>
      <c r="P34" s="14">
        <f t="shared" si="7"/>
        <v>0</v>
      </c>
      <c r="Q34" s="4"/>
    </row>
    <row r="35" spans="4:17" ht="20.45" customHeight="1" x14ac:dyDescent="0.15">
      <c r="D35" s="4"/>
      <c r="E35" s="7"/>
      <c r="F35" s="9"/>
      <c r="G35" s="14"/>
      <c r="H35" s="14"/>
      <c r="I35" s="14">
        <f t="shared" si="4"/>
        <v>0</v>
      </c>
      <c r="J35" s="14"/>
      <c r="K35" s="14"/>
      <c r="L35" s="14">
        <f t="shared" si="5"/>
        <v>0</v>
      </c>
      <c r="M35" s="14"/>
      <c r="N35" s="14">
        <f t="shared" si="6"/>
        <v>0</v>
      </c>
      <c r="O35" s="14"/>
      <c r="P35" s="14">
        <f t="shared" si="7"/>
        <v>0</v>
      </c>
      <c r="Q35" s="4"/>
    </row>
    <row r="36" spans="4:17" ht="20.45" customHeight="1" x14ac:dyDescent="0.15">
      <c r="D36" s="4"/>
      <c r="E36" s="7"/>
      <c r="F36" s="9"/>
      <c r="G36" s="14"/>
      <c r="H36" s="14"/>
      <c r="I36" s="14">
        <f t="shared" si="4"/>
        <v>0</v>
      </c>
      <c r="J36" s="14"/>
      <c r="K36" s="14"/>
      <c r="L36" s="14">
        <f t="shared" si="5"/>
        <v>0</v>
      </c>
      <c r="M36" s="14"/>
      <c r="N36" s="14">
        <f t="shared" si="6"/>
        <v>0</v>
      </c>
      <c r="O36" s="14"/>
      <c r="P36" s="14">
        <f t="shared" si="7"/>
        <v>0</v>
      </c>
      <c r="Q36" s="4"/>
    </row>
    <row r="37" spans="4:17" ht="20.45" customHeight="1" x14ac:dyDescent="0.15">
      <c r="D37" s="4"/>
      <c r="E37" s="7"/>
      <c r="F37" s="9"/>
      <c r="G37" s="14"/>
      <c r="H37" s="14"/>
      <c r="I37" s="14">
        <f t="shared" si="4"/>
        <v>0</v>
      </c>
      <c r="J37" s="14"/>
      <c r="K37" s="14"/>
      <c r="L37" s="14">
        <f t="shared" si="5"/>
        <v>0</v>
      </c>
      <c r="M37" s="14"/>
      <c r="N37" s="14">
        <f t="shared" si="6"/>
        <v>0</v>
      </c>
      <c r="O37" s="14"/>
      <c r="P37" s="14">
        <f t="shared" si="7"/>
        <v>0</v>
      </c>
      <c r="Q37" s="4"/>
    </row>
    <row r="38" spans="4:17" ht="20.45" customHeight="1" x14ac:dyDescent="0.15">
      <c r="D38" s="4"/>
      <c r="E38" s="7"/>
      <c r="F38" s="9"/>
      <c r="G38" s="14"/>
      <c r="H38" s="14"/>
      <c r="I38" s="14">
        <f t="shared" si="4"/>
        <v>0</v>
      </c>
      <c r="J38" s="14"/>
      <c r="K38" s="14"/>
      <c r="L38" s="14">
        <f t="shared" si="5"/>
        <v>0</v>
      </c>
      <c r="M38" s="14"/>
      <c r="N38" s="14">
        <f t="shared" si="6"/>
        <v>0</v>
      </c>
      <c r="O38" s="14"/>
      <c r="P38" s="14">
        <f t="shared" si="7"/>
        <v>0</v>
      </c>
      <c r="Q38" s="4"/>
    </row>
    <row r="39" spans="4:17" ht="20.45" customHeight="1" x14ac:dyDescent="0.15">
      <c r="D39" s="4"/>
      <c r="E39" s="7"/>
      <c r="F39" s="9"/>
      <c r="G39" s="14"/>
      <c r="H39" s="14"/>
      <c r="I39" s="14">
        <f t="shared" si="4"/>
        <v>0</v>
      </c>
      <c r="J39" s="14"/>
      <c r="K39" s="14"/>
      <c r="L39" s="14">
        <f t="shared" si="5"/>
        <v>0</v>
      </c>
      <c r="M39" s="14"/>
      <c r="N39" s="14">
        <f t="shared" si="6"/>
        <v>0</v>
      </c>
      <c r="O39" s="14"/>
      <c r="P39" s="14">
        <f t="shared" si="7"/>
        <v>0</v>
      </c>
      <c r="Q39" s="4"/>
    </row>
    <row r="40" spans="4:17" ht="20.45" customHeight="1" x14ac:dyDescent="0.15">
      <c r="D40" s="4"/>
      <c r="E40" s="7"/>
      <c r="F40" s="9"/>
      <c r="G40" s="14"/>
      <c r="H40" s="14"/>
      <c r="I40" s="14">
        <f t="shared" si="4"/>
        <v>0</v>
      </c>
      <c r="J40" s="14"/>
      <c r="K40" s="14"/>
      <c r="L40" s="14">
        <f t="shared" si="5"/>
        <v>0</v>
      </c>
      <c r="M40" s="14"/>
      <c r="N40" s="14">
        <f t="shared" si="6"/>
        <v>0</v>
      </c>
      <c r="O40" s="14"/>
      <c r="P40" s="14">
        <f t="shared" si="7"/>
        <v>0</v>
      </c>
      <c r="Q40" s="4"/>
    </row>
    <row r="41" spans="4:17" ht="20.45" customHeight="1" x14ac:dyDescent="0.15">
      <c r="D41" s="4"/>
      <c r="E41" s="7"/>
      <c r="F41" s="9"/>
      <c r="G41" s="14"/>
      <c r="H41" s="14"/>
      <c r="I41" s="14">
        <f t="shared" si="4"/>
        <v>0</v>
      </c>
      <c r="J41" s="14"/>
      <c r="K41" s="14"/>
      <c r="L41" s="14">
        <f t="shared" si="5"/>
        <v>0</v>
      </c>
      <c r="M41" s="14"/>
      <c r="N41" s="14">
        <f t="shared" si="6"/>
        <v>0</v>
      </c>
      <c r="O41" s="14"/>
      <c r="P41" s="14">
        <f t="shared" si="7"/>
        <v>0</v>
      </c>
      <c r="Q41" s="4"/>
    </row>
    <row r="42" spans="4:17" ht="20.45" customHeight="1" x14ac:dyDescent="0.15">
      <c r="D42" s="4"/>
      <c r="E42" s="7"/>
      <c r="F42" s="9"/>
      <c r="G42" s="14"/>
      <c r="H42" s="14"/>
      <c r="I42" s="14">
        <f t="shared" si="4"/>
        <v>0</v>
      </c>
      <c r="J42" s="14"/>
      <c r="K42" s="14"/>
      <c r="L42" s="14">
        <f t="shared" si="5"/>
        <v>0</v>
      </c>
      <c r="M42" s="14"/>
      <c r="N42" s="14">
        <f t="shared" si="6"/>
        <v>0</v>
      </c>
      <c r="O42" s="14"/>
      <c r="P42" s="14">
        <f t="shared" si="7"/>
        <v>0</v>
      </c>
      <c r="Q42" s="4"/>
    </row>
    <row r="43" spans="4:17" ht="20.45" customHeight="1" x14ac:dyDescent="0.15">
      <c r="D43" s="4"/>
      <c r="E43" s="7"/>
      <c r="F43" s="9"/>
      <c r="G43" s="14"/>
      <c r="H43" s="14"/>
      <c r="I43" s="14">
        <f t="shared" si="4"/>
        <v>0</v>
      </c>
      <c r="J43" s="14"/>
      <c r="K43" s="14"/>
      <c r="L43" s="14">
        <f t="shared" si="5"/>
        <v>0</v>
      </c>
      <c r="M43" s="14"/>
      <c r="N43" s="14">
        <f t="shared" si="6"/>
        <v>0</v>
      </c>
      <c r="O43" s="14"/>
      <c r="P43" s="14">
        <f t="shared" si="7"/>
        <v>0</v>
      </c>
      <c r="Q43" s="4"/>
    </row>
    <row r="44" spans="4:17" ht="20.45" customHeight="1" x14ac:dyDescent="0.15">
      <c r="D44" s="4"/>
      <c r="E44" s="7"/>
      <c r="F44" s="9"/>
      <c r="G44" s="14"/>
      <c r="H44" s="14"/>
      <c r="I44" s="14">
        <f t="shared" si="4"/>
        <v>0</v>
      </c>
      <c r="J44" s="14"/>
      <c r="K44" s="14"/>
      <c r="L44" s="14">
        <f t="shared" si="5"/>
        <v>0</v>
      </c>
      <c r="M44" s="14"/>
      <c r="N44" s="14">
        <f t="shared" si="6"/>
        <v>0</v>
      </c>
      <c r="O44" s="14"/>
      <c r="P44" s="14">
        <f t="shared" si="7"/>
        <v>0</v>
      </c>
      <c r="Q44" s="4"/>
    </row>
    <row r="45" spans="4:17" ht="20.45" customHeight="1" x14ac:dyDescent="0.15">
      <c r="D45" s="4"/>
      <c r="E45" s="7"/>
      <c r="F45" s="9"/>
      <c r="G45" s="14"/>
      <c r="H45" s="14"/>
      <c r="I45" s="14">
        <f t="shared" si="4"/>
        <v>0</v>
      </c>
      <c r="J45" s="14"/>
      <c r="K45" s="14"/>
      <c r="L45" s="14">
        <f t="shared" si="5"/>
        <v>0</v>
      </c>
      <c r="M45" s="14"/>
      <c r="N45" s="14">
        <f t="shared" si="6"/>
        <v>0</v>
      </c>
      <c r="O45" s="14"/>
      <c r="P45" s="14">
        <f t="shared" si="7"/>
        <v>0</v>
      </c>
      <c r="Q45" s="4"/>
    </row>
    <row r="46" spans="4:17" ht="20.45" customHeight="1" x14ac:dyDescent="0.15">
      <c r="D46" s="4"/>
      <c r="E46" s="7"/>
      <c r="F46" s="9"/>
      <c r="G46" s="14"/>
      <c r="H46" s="14"/>
      <c r="I46" s="14">
        <f t="shared" si="4"/>
        <v>0</v>
      </c>
      <c r="J46" s="14"/>
      <c r="K46" s="14"/>
      <c r="L46" s="14">
        <f t="shared" si="5"/>
        <v>0</v>
      </c>
      <c r="M46" s="14"/>
      <c r="N46" s="14">
        <f t="shared" si="6"/>
        <v>0</v>
      </c>
      <c r="O46" s="14"/>
      <c r="P46" s="14">
        <f t="shared" si="7"/>
        <v>0</v>
      </c>
      <c r="Q46" s="4"/>
    </row>
    <row r="47" spans="4:17" ht="20.45" customHeight="1" x14ac:dyDescent="0.15">
      <c r="D47" s="4"/>
      <c r="E47" s="7"/>
      <c r="F47" s="9"/>
      <c r="G47" s="14"/>
      <c r="H47" s="14"/>
      <c r="I47" s="14">
        <f t="shared" si="4"/>
        <v>0</v>
      </c>
      <c r="J47" s="14"/>
      <c r="K47" s="14"/>
      <c r="L47" s="14">
        <f t="shared" si="5"/>
        <v>0</v>
      </c>
      <c r="M47" s="14"/>
      <c r="N47" s="14">
        <f t="shared" si="6"/>
        <v>0</v>
      </c>
      <c r="O47" s="14"/>
      <c r="P47" s="14">
        <f t="shared" si="7"/>
        <v>0</v>
      </c>
      <c r="Q47" s="4"/>
    </row>
    <row r="48" spans="4:17" ht="20.45" customHeight="1" x14ac:dyDescent="0.15">
      <c r="D48" s="4"/>
      <c r="E48" s="7"/>
      <c r="F48" s="9"/>
      <c r="G48" s="14"/>
      <c r="H48" s="14"/>
      <c r="I48" s="14">
        <f t="shared" si="4"/>
        <v>0</v>
      </c>
      <c r="J48" s="14"/>
      <c r="K48" s="14"/>
      <c r="L48" s="14">
        <f t="shared" si="5"/>
        <v>0</v>
      </c>
      <c r="M48" s="14"/>
      <c r="N48" s="14">
        <f t="shared" si="6"/>
        <v>0</v>
      </c>
      <c r="O48" s="14"/>
      <c r="P48" s="14">
        <f t="shared" si="7"/>
        <v>0</v>
      </c>
      <c r="Q48" s="4"/>
    </row>
    <row r="49" spans="2:17" ht="20.45" customHeight="1" x14ac:dyDescent="0.15">
      <c r="D49" s="4"/>
      <c r="E49" s="7"/>
      <c r="F49" s="9"/>
      <c r="G49" s="14"/>
      <c r="H49" s="14"/>
      <c r="I49" s="14">
        <f t="shared" si="4"/>
        <v>0</v>
      </c>
      <c r="J49" s="14"/>
      <c r="K49" s="14"/>
      <c r="L49" s="14">
        <f t="shared" si="5"/>
        <v>0</v>
      </c>
      <c r="M49" s="14"/>
      <c r="N49" s="14">
        <f t="shared" si="6"/>
        <v>0</v>
      </c>
      <c r="O49" s="14"/>
      <c r="P49" s="14">
        <f t="shared" si="7"/>
        <v>0</v>
      </c>
      <c r="Q49" s="4"/>
    </row>
    <row r="50" spans="2:17" ht="20.45" customHeight="1" x14ac:dyDescent="0.15">
      <c r="D50" s="4"/>
      <c r="E50" s="7"/>
      <c r="F50" s="9"/>
      <c r="G50" s="14"/>
      <c r="H50" s="14"/>
      <c r="I50" s="14">
        <f t="shared" si="4"/>
        <v>0</v>
      </c>
      <c r="J50" s="14"/>
      <c r="K50" s="14"/>
      <c r="L50" s="14">
        <f t="shared" si="5"/>
        <v>0</v>
      </c>
      <c r="M50" s="14"/>
      <c r="N50" s="14">
        <f t="shared" si="6"/>
        <v>0</v>
      </c>
      <c r="O50" s="14"/>
      <c r="P50" s="14">
        <f t="shared" si="7"/>
        <v>0</v>
      </c>
      <c r="Q50" s="4"/>
    </row>
    <row r="51" spans="2:17" ht="20.45" customHeight="1" x14ac:dyDescent="0.15">
      <c r="D51" s="4"/>
      <c r="E51" s="7"/>
      <c r="F51" s="9"/>
      <c r="G51" s="14"/>
      <c r="H51" s="14"/>
      <c r="I51" s="14">
        <f t="shared" si="4"/>
        <v>0</v>
      </c>
      <c r="J51" s="14"/>
      <c r="K51" s="14"/>
      <c r="L51" s="14">
        <f t="shared" si="5"/>
        <v>0</v>
      </c>
      <c r="M51" s="14"/>
      <c r="N51" s="14">
        <f t="shared" si="6"/>
        <v>0</v>
      </c>
      <c r="O51" s="14"/>
      <c r="P51" s="14">
        <f t="shared" si="7"/>
        <v>0</v>
      </c>
      <c r="Q51" s="4"/>
    </row>
    <row r="52" spans="2:17" ht="20.45" customHeight="1" x14ac:dyDescent="0.15">
      <c r="D52" s="4"/>
      <c r="E52" s="7"/>
      <c r="F52" s="9"/>
      <c r="G52" s="14"/>
      <c r="H52" s="14"/>
      <c r="I52" s="14">
        <f t="shared" si="4"/>
        <v>0</v>
      </c>
      <c r="J52" s="14"/>
      <c r="K52" s="14"/>
      <c r="L52" s="14">
        <f t="shared" si="5"/>
        <v>0</v>
      </c>
      <c r="M52" s="14"/>
      <c r="N52" s="14">
        <f t="shared" si="6"/>
        <v>0</v>
      </c>
      <c r="O52" s="14"/>
      <c r="P52" s="14">
        <f t="shared" si="7"/>
        <v>0</v>
      </c>
      <c r="Q52" s="4"/>
    </row>
    <row r="53" spans="2:17" ht="20.45" customHeight="1" x14ac:dyDescent="0.15">
      <c r="D53" s="4"/>
      <c r="E53" s="7"/>
      <c r="F53" s="9"/>
      <c r="G53" s="14"/>
      <c r="H53" s="14"/>
      <c r="I53" s="14">
        <f t="shared" si="4"/>
        <v>0</v>
      </c>
      <c r="J53" s="14"/>
      <c r="K53" s="14"/>
      <c r="L53" s="14">
        <f t="shared" si="5"/>
        <v>0</v>
      </c>
      <c r="M53" s="14"/>
      <c r="N53" s="14">
        <f t="shared" si="6"/>
        <v>0</v>
      </c>
      <c r="O53" s="14"/>
      <c r="P53" s="14">
        <f t="shared" si="7"/>
        <v>0</v>
      </c>
      <c r="Q53" s="4"/>
    </row>
    <row r="54" spans="2:17" ht="20.45" customHeight="1" x14ac:dyDescent="0.15">
      <c r="D54" s="4"/>
      <c r="E54" s="7"/>
      <c r="F54" s="9"/>
      <c r="G54" s="14"/>
      <c r="H54" s="14"/>
      <c r="I54" s="14">
        <f t="shared" si="4"/>
        <v>0</v>
      </c>
      <c r="J54" s="14"/>
      <c r="K54" s="14"/>
      <c r="L54" s="14">
        <f t="shared" si="5"/>
        <v>0</v>
      </c>
      <c r="M54" s="14"/>
      <c r="N54" s="14">
        <f t="shared" si="6"/>
        <v>0</v>
      </c>
      <c r="O54" s="14"/>
      <c r="P54" s="14">
        <f t="shared" si="7"/>
        <v>0</v>
      </c>
      <c r="Q54" s="4"/>
    </row>
    <row r="55" spans="2:17" ht="20.45" customHeight="1" x14ac:dyDescent="0.15">
      <c r="C55" s="5" t="s">
        <v>382</v>
      </c>
      <c r="D55" s="4" t="s">
        <v>343</v>
      </c>
      <c r="E55" s="7"/>
      <c r="F55" s="9"/>
      <c r="G55" s="14"/>
      <c r="H55" s="14"/>
      <c r="I55" s="14">
        <f>TRUNC(SUM(I30:I54))</f>
        <v>0</v>
      </c>
      <c r="J55" s="14"/>
      <c r="K55" s="14"/>
      <c r="L55" s="14">
        <f>TRUNC(SUM(L30:L54))</f>
        <v>0</v>
      </c>
      <c r="M55" s="14"/>
      <c r="N55" s="14">
        <f>TRUNC(SUM(N30:N54))</f>
        <v>0</v>
      </c>
      <c r="O55" s="14"/>
      <c r="P55" s="14">
        <f>TRUNC(SUM(P30:P54))</f>
        <v>0</v>
      </c>
      <c r="Q55" s="4"/>
    </row>
    <row r="56" spans="2:17" ht="20.45" customHeight="1" x14ac:dyDescent="0.15">
      <c r="B56" s="5" t="s">
        <v>240</v>
      </c>
      <c r="D56" s="165" t="s">
        <v>385</v>
      </c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7"/>
    </row>
    <row r="57" spans="2:17" ht="20.45" customHeight="1" x14ac:dyDescent="0.15">
      <c r="B57" s="5" t="s">
        <v>346</v>
      </c>
      <c r="D57" s="4" t="s">
        <v>71</v>
      </c>
      <c r="E57" s="7"/>
      <c r="F57" s="9" t="s">
        <v>242</v>
      </c>
      <c r="G57" s="14">
        <v>1</v>
      </c>
      <c r="H57" s="14">
        <f>내역서!I29</f>
        <v>0</v>
      </c>
      <c r="I57" s="14">
        <f t="shared" ref="I57:I80" si="8">G57*H57</f>
        <v>0</v>
      </c>
      <c r="J57" s="14"/>
      <c r="K57" s="14">
        <f>내역서!L29</f>
        <v>0</v>
      </c>
      <c r="L57" s="14">
        <f t="shared" ref="L57:L80" si="9">G57*K57</f>
        <v>0</v>
      </c>
      <c r="M57" s="14">
        <f>내역서!N29</f>
        <v>0</v>
      </c>
      <c r="N57" s="14">
        <f t="shared" ref="N57:N80" si="10">G57*M57</f>
        <v>0</v>
      </c>
      <c r="O57" s="14"/>
      <c r="P57" s="14">
        <f t="shared" ref="P57:P80" si="11">SUM(I57,L57,N57)</f>
        <v>0</v>
      </c>
      <c r="Q57" s="4"/>
    </row>
    <row r="58" spans="2:17" ht="20.45" customHeight="1" x14ac:dyDescent="0.15">
      <c r="B58" s="5" t="s">
        <v>351</v>
      </c>
      <c r="D58" s="4" t="s">
        <v>72</v>
      </c>
      <c r="E58" s="7"/>
      <c r="F58" s="9" t="s">
        <v>242</v>
      </c>
      <c r="G58" s="14">
        <v>1</v>
      </c>
      <c r="H58" s="14">
        <f>내역서!I81</f>
        <v>0</v>
      </c>
      <c r="I58" s="14">
        <f t="shared" si="8"/>
        <v>0</v>
      </c>
      <c r="J58" s="14"/>
      <c r="K58" s="14">
        <f>내역서!L81</f>
        <v>0</v>
      </c>
      <c r="L58" s="14">
        <f t="shared" si="9"/>
        <v>0</v>
      </c>
      <c r="M58" s="14">
        <f>내역서!N81</f>
        <v>0</v>
      </c>
      <c r="N58" s="14">
        <f t="shared" si="10"/>
        <v>0</v>
      </c>
      <c r="O58" s="14"/>
      <c r="P58" s="14">
        <f t="shared" si="11"/>
        <v>0</v>
      </c>
      <c r="Q58" s="4"/>
    </row>
    <row r="59" spans="2:17" ht="20.45" customHeight="1" x14ac:dyDescent="0.15">
      <c r="B59" s="5" t="s">
        <v>359</v>
      </c>
      <c r="D59" s="4" t="s">
        <v>73</v>
      </c>
      <c r="E59" s="7"/>
      <c r="F59" s="9" t="s">
        <v>242</v>
      </c>
      <c r="G59" s="14">
        <v>1</v>
      </c>
      <c r="H59" s="14">
        <f>내역서!I107</f>
        <v>0</v>
      </c>
      <c r="I59" s="14">
        <f t="shared" si="8"/>
        <v>0</v>
      </c>
      <c r="J59" s="14"/>
      <c r="K59" s="14">
        <f>내역서!L107</f>
        <v>0</v>
      </c>
      <c r="L59" s="14">
        <f t="shared" si="9"/>
        <v>0</v>
      </c>
      <c r="M59" s="14">
        <f>내역서!N107</f>
        <v>0</v>
      </c>
      <c r="N59" s="14">
        <f t="shared" si="10"/>
        <v>0</v>
      </c>
      <c r="O59" s="14"/>
      <c r="P59" s="14">
        <f t="shared" si="11"/>
        <v>0</v>
      </c>
      <c r="Q59" s="4"/>
    </row>
    <row r="60" spans="2:17" ht="20.45" customHeight="1" x14ac:dyDescent="0.15">
      <c r="B60" s="5" t="s">
        <v>363</v>
      </c>
      <c r="D60" s="4" t="s">
        <v>74</v>
      </c>
      <c r="E60" s="7"/>
      <c r="F60" s="9" t="s">
        <v>242</v>
      </c>
      <c r="G60" s="14">
        <v>1</v>
      </c>
      <c r="H60" s="14">
        <f>내역서!I133</f>
        <v>0</v>
      </c>
      <c r="I60" s="14">
        <f t="shared" si="8"/>
        <v>0</v>
      </c>
      <c r="J60" s="14"/>
      <c r="K60" s="14">
        <f>내역서!L133</f>
        <v>0</v>
      </c>
      <c r="L60" s="14">
        <f t="shared" si="9"/>
        <v>0</v>
      </c>
      <c r="M60" s="14">
        <f>내역서!N133</f>
        <v>0</v>
      </c>
      <c r="N60" s="14">
        <f t="shared" si="10"/>
        <v>0</v>
      </c>
      <c r="O60" s="14"/>
      <c r="P60" s="14">
        <f t="shared" si="11"/>
        <v>0</v>
      </c>
      <c r="Q60" s="4"/>
    </row>
    <row r="61" spans="2:17" ht="20.45" customHeight="1" x14ac:dyDescent="0.15">
      <c r="B61" s="5" t="s">
        <v>366</v>
      </c>
      <c r="D61" s="4" t="s">
        <v>75</v>
      </c>
      <c r="E61" s="7"/>
      <c r="F61" s="9" t="s">
        <v>242</v>
      </c>
      <c r="G61" s="14">
        <v>1</v>
      </c>
      <c r="H61" s="14">
        <f>내역서!I159</f>
        <v>0</v>
      </c>
      <c r="I61" s="14">
        <f t="shared" si="8"/>
        <v>0</v>
      </c>
      <c r="J61" s="14"/>
      <c r="K61" s="14">
        <f>내역서!L159</f>
        <v>0</v>
      </c>
      <c r="L61" s="14">
        <f t="shared" si="9"/>
        <v>0</v>
      </c>
      <c r="M61" s="14">
        <f>내역서!N159</f>
        <v>0</v>
      </c>
      <c r="N61" s="14">
        <f t="shared" si="10"/>
        <v>0</v>
      </c>
      <c r="O61" s="14"/>
      <c r="P61" s="14">
        <f t="shared" si="11"/>
        <v>0</v>
      </c>
      <c r="Q61" s="4"/>
    </row>
    <row r="62" spans="2:17" ht="20.45" customHeight="1" x14ac:dyDescent="0.15">
      <c r="D62" s="4"/>
      <c r="E62" s="7"/>
      <c r="F62" s="9"/>
      <c r="G62" s="14"/>
      <c r="H62" s="14"/>
      <c r="I62" s="14">
        <f t="shared" si="8"/>
        <v>0</v>
      </c>
      <c r="J62" s="14"/>
      <c r="K62" s="14"/>
      <c r="L62" s="14">
        <f t="shared" si="9"/>
        <v>0</v>
      </c>
      <c r="M62" s="14"/>
      <c r="N62" s="14">
        <f t="shared" si="10"/>
        <v>0</v>
      </c>
      <c r="O62" s="14"/>
      <c r="P62" s="14">
        <f t="shared" si="11"/>
        <v>0</v>
      </c>
      <c r="Q62" s="4"/>
    </row>
    <row r="63" spans="2:17" ht="20.45" customHeight="1" x14ac:dyDescent="0.15">
      <c r="D63" s="4"/>
      <c r="E63" s="7"/>
      <c r="F63" s="9"/>
      <c r="G63" s="14"/>
      <c r="H63" s="14"/>
      <c r="I63" s="14">
        <f t="shared" si="8"/>
        <v>0</v>
      </c>
      <c r="J63" s="14"/>
      <c r="K63" s="14"/>
      <c r="L63" s="14">
        <f t="shared" si="9"/>
        <v>0</v>
      </c>
      <c r="M63" s="14"/>
      <c r="N63" s="14">
        <f t="shared" si="10"/>
        <v>0</v>
      </c>
      <c r="O63" s="14"/>
      <c r="P63" s="14">
        <f t="shared" si="11"/>
        <v>0</v>
      </c>
      <c r="Q63" s="4"/>
    </row>
    <row r="64" spans="2:17" ht="20.45" customHeight="1" x14ac:dyDescent="0.15">
      <c r="D64" s="4"/>
      <c r="E64" s="7"/>
      <c r="F64" s="9"/>
      <c r="G64" s="14"/>
      <c r="H64" s="14"/>
      <c r="I64" s="14">
        <f t="shared" si="8"/>
        <v>0</v>
      </c>
      <c r="J64" s="14"/>
      <c r="K64" s="14"/>
      <c r="L64" s="14">
        <f t="shared" si="9"/>
        <v>0</v>
      </c>
      <c r="M64" s="14"/>
      <c r="N64" s="14">
        <f t="shared" si="10"/>
        <v>0</v>
      </c>
      <c r="O64" s="14"/>
      <c r="P64" s="14">
        <f t="shared" si="11"/>
        <v>0</v>
      </c>
      <c r="Q64" s="4"/>
    </row>
    <row r="65" spans="4:17" ht="20.45" customHeight="1" x14ac:dyDescent="0.15">
      <c r="D65" s="4"/>
      <c r="E65" s="7"/>
      <c r="F65" s="9"/>
      <c r="G65" s="14"/>
      <c r="H65" s="14"/>
      <c r="I65" s="14">
        <f t="shared" si="8"/>
        <v>0</v>
      </c>
      <c r="J65" s="14"/>
      <c r="K65" s="14"/>
      <c r="L65" s="14">
        <f t="shared" si="9"/>
        <v>0</v>
      </c>
      <c r="M65" s="14"/>
      <c r="N65" s="14">
        <f t="shared" si="10"/>
        <v>0</v>
      </c>
      <c r="O65" s="14"/>
      <c r="P65" s="14">
        <f t="shared" si="11"/>
        <v>0</v>
      </c>
      <c r="Q65" s="4"/>
    </row>
    <row r="66" spans="4:17" ht="20.45" customHeight="1" x14ac:dyDescent="0.15">
      <c r="D66" s="4"/>
      <c r="E66" s="7"/>
      <c r="F66" s="9"/>
      <c r="G66" s="14"/>
      <c r="H66" s="14"/>
      <c r="I66" s="14">
        <f t="shared" si="8"/>
        <v>0</v>
      </c>
      <c r="J66" s="14"/>
      <c r="K66" s="14"/>
      <c r="L66" s="14">
        <f t="shared" si="9"/>
        <v>0</v>
      </c>
      <c r="M66" s="14"/>
      <c r="N66" s="14">
        <f t="shared" si="10"/>
        <v>0</v>
      </c>
      <c r="O66" s="14"/>
      <c r="P66" s="14">
        <f t="shared" si="11"/>
        <v>0</v>
      </c>
      <c r="Q66" s="4"/>
    </row>
    <row r="67" spans="4:17" ht="20.45" customHeight="1" x14ac:dyDescent="0.15">
      <c r="D67" s="4"/>
      <c r="E67" s="7"/>
      <c r="F67" s="9"/>
      <c r="G67" s="14"/>
      <c r="H67" s="14"/>
      <c r="I67" s="14">
        <f t="shared" si="8"/>
        <v>0</v>
      </c>
      <c r="J67" s="14"/>
      <c r="K67" s="14"/>
      <c r="L67" s="14">
        <f t="shared" si="9"/>
        <v>0</v>
      </c>
      <c r="M67" s="14"/>
      <c r="N67" s="14">
        <f t="shared" si="10"/>
        <v>0</v>
      </c>
      <c r="O67" s="14"/>
      <c r="P67" s="14">
        <f t="shared" si="11"/>
        <v>0</v>
      </c>
      <c r="Q67" s="4"/>
    </row>
    <row r="68" spans="4:17" ht="20.45" customHeight="1" x14ac:dyDescent="0.15">
      <c r="D68" s="4"/>
      <c r="E68" s="7"/>
      <c r="F68" s="9"/>
      <c r="G68" s="14"/>
      <c r="H68" s="14"/>
      <c r="I68" s="14">
        <f t="shared" si="8"/>
        <v>0</v>
      </c>
      <c r="J68" s="14"/>
      <c r="K68" s="14"/>
      <c r="L68" s="14">
        <f t="shared" si="9"/>
        <v>0</v>
      </c>
      <c r="M68" s="14"/>
      <c r="N68" s="14">
        <f t="shared" si="10"/>
        <v>0</v>
      </c>
      <c r="O68" s="14"/>
      <c r="P68" s="14">
        <f t="shared" si="11"/>
        <v>0</v>
      </c>
      <c r="Q68" s="4"/>
    </row>
    <row r="69" spans="4:17" ht="20.45" customHeight="1" x14ac:dyDescent="0.15">
      <c r="D69" s="4"/>
      <c r="E69" s="7"/>
      <c r="F69" s="9"/>
      <c r="G69" s="14"/>
      <c r="H69" s="14"/>
      <c r="I69" s="14">
        <f t="shared" si="8"/>
        <v>0</v>
      </c>
      <c r="J69" s="14"/>
      <c r="K69" s="14"/>
      <c r="L69" s="14">
        <f t="shared" si="9"/>
        <v>0</v>
      </c>
      <c r="M69" s="14"/>
      <c r="N69" s="14">
        <f t="shared" si="10"/>
        <v>0</v>
      </c>
      <c r="O69" s="14"/>
      <c r="P69" s="14">
        <f t="shared" si="11"/>
        <v>0</v>
      </c>
      <c r="Q69" s="4"/>
    </row>
    <row r="70" spans="4:17" ht="20.45" customHeight="1" x14ac:dyDescent="0.15">
      <c r="D70" s="4"/>
      <c r="E70" s="7"/>
      <c r="F70" s="9"/>
      <c r="G70" s="14"/>
      <c r="H70" s="14"/>
      <c r="I70" s="14">
        <f t="shared" si="8"/>
        <v>0</v>
      </c>
      <c r="J70" s="14"/>
      <c r="K70" s="14"/>
      <c r="L70" s="14">
        <f t="shared" si="9"/>
        <v>0</v>
      </c>
      <c r="M70" s="14"/>
      <c r="N70" s="14">
        <f t="shared" si="10"/>
        <v>0</v>
      </c>
      <c r="O70" s="14"/>
      <c r="P70" s="14">
        <f t="shared" si="11"/>
        <v>0</v>
      </c>
      <c r="Q70" s="4"/>
    </row>
    <row r="71" spans="4:17" ht="20.45" customHeight="1" x14ac:dyDescent="0.15">
      <c r="D71" s="4"/>
      <c r="E71" s="7"/>
      <c r="F71" s="9"/>
      <c r="G71" s="14"/>
      <c r="H71" s="14"/>
      <c r="I71" s="14">
        <f t="shared" si="8"/>
        <v>0</v>
      </c>
      <c r="J71" s="14"/>
      <c r="K71" s="14"/>
      <c r="L71" s="14">
        <f t="shared" si="9"/>
        <v>0</v>
      </c>
      <c r="M71" s="14"/>
      <c r="N71" s="14">
        <f t="shared" si="10"/>
        <v>0</v>
      </c>
      <c r="O71" s="14"/>
      <c r="P71" s="14">
        <f t="shared" si="11"/>
        <v>0</v>
      </c>
      <c r="Q71" s="4"/>
    </row>
    <row r="72" spans="4:17" ht="20.45" customHeight="1" x14ac:dyDescent="0.15">
      <c r="D72" s="4"/>
      <c r="E72" s="7"/>
      <c r="F72" s="9"/>
      <c r="G72" s="14"/>
      <c r="H72" s="14"/>
      <c r="I72" s="14">
        <f t="shared" si="8"/>
        <v>0</v>
      </c>
      <c r="J72" s="14"/>
      <c r="K72" s="14"/>
      <c r="L72" s="14">
        <f t="shared" si="9"/>
        <v>0</v>
      </c>
      <c r="M72" s="14"/>
      <c r="N72" s="14">
        <f t="shared" si="10"/>
        <v>0</v>
      </c>
      <c r="O72" s="14"/>
      <c r="P72" s="14">
        <f t="shared" si="11"/>
        <v>0</v>
      </c>
      <c r="Q72" s="4"/>
    </row>
    <row r="73" spans="4:17" ht="20.45" customHeight="1" x14ac:dyDescent="0.15">
      <c r="D73" s="4"/>
      <c r="E73" s="7"/>
      <c r="F73" s="9"/>
      <c r="G73" s="14"/>
      <c r="H73" s="14"/>
      <c r="I73" s="14">
        <f t="shared" si="8"/>
        <v>0</v>
      </c>
      <c r="J73" s="14"/>
      <c r="K73" s="14"/>
      <c r="L73" s="14">
        <f t="shared" si="9"/>
        <v>0</v>
      </c>
      <c r="M73" s="14"/>
      <c r="N73" s="14">
        <f t="shared" si="10"/>
        <v>0</v>
      </c>
      <c r="O73" s="14"/>
      <c r="P73" s="14">
        <f t="shared" si="11"/>
        <v>0</v>
      </c>
      <c r="Q73" s="4"/>
    </row>
    <row r="74" spans="4:17" ht="20.45" customHeight="1" x14ac:dyDescent="0.15">
      <c r="D74" s="4"/>
      <c r="E74" s="7"/>
      <c r="F74" s="9"/>
      <c r="G74" s="14"/>
      <c r="H74" s="14"/>
      <c r="I74" s="14">
        <f t="shared" si="8"/>
        <v>0</v>
      </c>
      <c r="J74" s="14"/>
      <c r="K74" s="14"/>
      <c r="L74" s="14">
        <f t="shared" si="9"/>
        <v>0</v>
      </c>
      <c r="M74" s="14"/>
      <c r="N74" s="14">
        <f t="shared" si="10"/>
        <v>0</v>
      </c>
      <c r="O74" s="14"/>
      <c r="P74" s="14">
        <f t="shared" si="11"/>
        <v>0</v>
      </c>
      <c r="Q74" s="4"/>
    </row>
    <row r="75" spans="4:17" ht="20.45" customHeight="1" x14ac:dyDescent="0.15">
      <c r="D75" s="4"/>
      <c r="E75" s="7"/>
      <c r="F75" s="9"/>
      <c r="G75" s="14"/>
      <c r="H75" s="14"/>
      <c r="I75" s="14">
        <f t="shared" si="8"/>
        <v>0</v>
      </c>
      <c r="J75" s="14"/>
      <c r="K75" s="14"/>
      <c r="L75" s="14">
        <f t="shared" si="9"/>
        <v>0</v>
      </c>
      <c r="M75" s="14"/>
      <c r="N75" s="14">
        <f t="shared" si="10"/>
        <v>0</v>
      </c>
      <c r="O75" s="14"/>
      <c r="P75" s="14">
        <f t="shared" si="11"/>
        <v>0</v>
      </c>
      <c r="Q75" s="4"/>
    </row>
    <row r="76" spans="4:17" ht="20.45" customHeight="1" x14ac:dyDescent="0.15">
      <c r="D76" s="4"/>
      <c r="E76" s="7"/>
      <c r="F76" s="9"/>
      <c r="G76" s="14"/>
      <c r="H76" s="14"/>
      <c r="I76" s="14">
        <f t="shared" si="8"/>
        <v>0</v>
      </c>
      <c r="J76" s="14"/>
      <c r="K76" s="14"/>
      <c r="L76" s="14">
        <f t="shared" si="9"/>
        <v>0</v>
      </c>
      <c r="M76" s="14"/>
      <c r="N76" s="14">
        <f t="shared" si="10"/>
        <v>0</v>
      </c>
      <c r="O76" s="14"/>
      <c r="P76" s="14">
        <f t="shared" si="11"/>
        <v>0</v>
      </c>
      <c r="Q76" s="4"/>
    </row>
    <row r="77" spans="4:17" ht="20.45" customHeight="1" x14ac:dyDescent="0.15">
      <c r="D77" s="4"/>
      <c r="E77" s="7"/>
      <c r="F77" s="9"/>
      <c r="G77" s="14"/>
      <c r="H77" s="14"/>
      <c r="I77" s="14">
        <f t="shared" si="8"/>
        <v>0</v>
      </c>
      <c r="J77" s="14"/>
      <c r="K77" s="14"/>
      <c r="L77" s="14">
        <f t="shared" si="9"/>
        <v>0</v>
      </c>
      <c r="M77" s="14"/>
      <c r="N77" s="14">
        <f t="shared" si="10"/>
        <v>0</v>
      </c>
      <c r="O77" s="14"/>
      <c r="P77" s="14">
        <f t="shared" si="11"/>
        <v>0</v>
      </c>
      <c r="Q77" s="4"/>
    </row>
    <row r="78" spans="4:17" ht="20.45" customHeight="1" x14ac:dyDescent="0.15">
      <c r="D78" s="4"/>
      <c r="E78" s="7"/>
      <c r="F78" s="9"/>
      <c r="G78" s="14"/>
      <c r="H78" s="14"/>
      <c r="I78" s="14">
        <f t="shared" si="8"/>
        <v>0</v>
      </c>
      <c r="J78" s="14"/>
      <c r="K78" s="14"/>
      <c r="L78" s="14">
        <f t="shared" si="9"/>
        <v>0</v>
      </c>
      <c r="M78" s="14"/>
      <c r="N78" s="14">
        <f t="shared" si="10"/>
        <v>0</v>
      </c>
      <c r="O78" s="14"/>
      <c r="P78" s="14">
        <f t="shared" si="11"/>
        <v>0</v>
      </c>
      <c r="Q78" s="4"/>
    </row>
    <row r="79" spans="4:17" ht="20.45" customHeight="1" x14ac:dyDescent="0.15">
      <c r="D79" s="4"/>
      <c r="E79" s="7"/>
      <c r="F79" s="9"/>
      <c r="G79" s="14"/>
      <c r="H79" s="14"/>
      <c r="I79" s="14">
        <f t="shared" si="8"/>
        <v>0</v>
      </c>
      <c r="J79" s="14"/>
      <c r="K79" s="14"/>
      <c r="L79" s="14">
        <f t="shared" si="9"/>
        <v>0</v>
      </c>
      <c r="M79" s="14"/>
      <c r="N79" s="14">
        <f t="shared" si="10"/>
        <v>0</v>
      </c>
      <c r="O79" s="14"/>
      <c r="P79" s="14">
        <f t="shared" si="11"/>
        <v>0</v>
      </c>
      <c r="Q79" s="4"/>
    </row>
    <row r="80" spans="4:17" ht="20.45" customHeight="1" x14ac:dyDescent="0.15">
      <c r="D80" s="4"/>
      <c r="E80" s="7"/>
      <c r="F80" s="9"/>
      <c r="G80" s="14"/>
      <c r="H80" s="14"/>
      <c r="I80" s="14">
        <f t="shared" si="8"/>
        <v>0</v>
      </c>
      <c r="J80" s="14"/>
      <c r="K80" s="14"/>
      <c r="L80" s="14">
        <f t="shared" si="9"/>
        <v>0</v>
      </c>
      <c r="M80" s="14"/>
      <c r="N80" s="14">
        <f t="shared" si="10"/>
        <v>0</v>
      </c>
      <c r="O80" s="14"/>
      <c r="P80" s="14">
        <f t="shared" si="11"/>
        <v>0</v>
      </c>
      <c r="Q80" s="4"/>
    </row>
    <row r="81" spans="2:17" ht="20.45" customHeight="1" x14ac:dyDescent="0.15">
      <c r="B81" s="5" t="s">
        <v>380</v>
      </c>
      <c r="C81" s="5" t="s">
        <v>382</v>
      </c>
      <c r="D81" s="4" t="s">
        <v>343</v>
      </c>
      <c r="E81" s="7"/>
      <c r="F81" s="9"/>
      <c r="G81" s="14"/>
      <c r="H81" s="14"/>
      <c r="I81" s="14">
        <f>TRUNC(SUM(I56:I80))</f>
        <v>0</v>
      </c>
      <c r="J81" s="14"/>
      <c r="K81" s="14"/>
      <c r="L81" s="14">
        <f>TRUNC(SUM(L56:L80))</f>
        <v>0</v>
      </c>
      <c r="M81" s="14"/>
      <c r="N81" s="14">
        <f>TRUNC(SUM(N56:N80))</f>
        <v>0</v>
      </c>
      <c r="O81" s="14"/>
      <c r="P81" s="14">
        <f>TRUNC(SUM(P56:P80))</f>
        <v>0</v>
      </c>
      <c r="Q81" s="4"/>
    </row>
    <row r="82" spans="2:17" ht="20.45" customHeight="1" x14ac:dyDescent="0.15">
      <c r="B82" s="5" t="s">
        <v>240</v>
      </c>
      <c r="D82" s="165" t="s">
        <v>384</v>
      </c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7"/>
    </row>
    <row r="83" spans="2:17" ht="20.45" customHeight="1" x14ac:dyDescent="0.15">
      <c r="B83" s="5" t="s">
        <v>369</v>
      </c>
      <c r="D83" s="4" t="s">
        <v>76</v>
      </c>
      <c r="E83" s="7"/>
      <c r="F83" s="9" t="s">
        <v>242</v>
      </c>
      <c r="G83" s="14">
        <v>1</v>
      </c>
      <c r="H83" s="14">
        <f>내역서!I185</f>
        <v>0</v>
      </c>
      <c r="I83" s="14">
        <f t="shared" ref="I83:I106" si="12">G83*H83</f>
        <v>0</v>
      </c>
      <c r="J83" s="14"/>
      <c r="K83" s="14">
        <f>내역서!L185</f>
        <v>0</v>
      </c>
      <c r="L83" s="14">
        <f t="shared" ref="L83:L106" si="13">G83*K83</f>
        <v>0</v>
      </c>
      <c r="M83" s="14">
        <f>내역서!N185</f>
        <v>0</v>
      </c>
      <c r="N83" s="14">
        <f t="shared" ref="N83:N106" si="14">G83*M83</f>
        <v>0</v>
      </c>
      <c r="O83" s="14"/>
      <c r="P83" s="14">
        <f t="shared" ref="P83:P106" si="15">SUM(I83,L83,N83)</f>
        <v>0</v>
      </c>
      <c r="Q83" s="4"/>
    </row>
    <row r="84" spans="2:17" ht="20.45" customHeight="1" x14ac:dyDescent="0.15">
      <c r="D84" s="4"/>
      <c r="E84" s="7"/>
      <c r="F84" s="9"/>
      <c r="G84" s="14"/>
      <c r="H84" s="14"/>
      <c r="I84" s="14">
        <f t="shared" si="12"/>
        <v>0</v>
      </c>
      <c r="J84" s="14"/>
      <c r="K84" s="14"/>
      <c r="L84" s="14">
        <f t="shared" si="13"/>
        <v>0</v>
      </c>
      <c r="M84" s="14"/>
      <c r="N84" s="14">
        <f t="shared" si="14"/>
        <v>0</v>
      </c>
      <c r="O84" s="14"/>
      <c r="P84" s="14">
        <f t="shared" si="15"/>
        <v>0</v>
      </c>
      <c r="Q84" s="4"/>
    </row>
    <row r="85" spans="2:17" ht="20.45" customHeight="1" x14ac:dyDescent="0.15">
      <c r="D85" s="4"/>
      <c r="E85" s="7"/>
      <c r="F85" s="9"/>
      <c r="G85" s="14"/>
      <c r="H85" s="14"/>
      <c r="I85" s="14">
        <f t="shared" si="12"/>
        <v>0</v>
      </c>
      <c r="J85" s="14"/>
      <c r="K85" s="14"/>
      <c r="L85" s="14">
        <f t="shared" si="13"/>
        <v>0</v>
      </c>
      <c r="M85" s="14"/>
      <c r="N85" s="14">
        <f t="shared" si="14"/>
        <v>0</v>
      </c>
      <c r="O85" s="14"/>
      <c r="P85" s="14">
        <f t="shared" si="15"/>
        <v>0</v>
      </c>
      <c r="Q85" s="4"/>
    </row>
    <row r="86" spans="2:17" ht="20.45" customHeight="1" x14ac:dyDescent="0.15">
      <c r="D86" s="4"/>
      <c r="E86" s="7"/>
      <c r="F86" s="9"/>
      <c r="G86" s="14"/>
      <c r="H86" s="14"/>
      <c r="I86" s="14">
        <f t="shared" si="12"/>
        <v>0</v>
      </c>
      <c r="J86" s="14"/>
      <c r="K86" s="14"/>
      <c r="L86" s="14">
        <f t="shared" si="13"/>
        <v>0</v>
      </c>
      <c r="M86" s="14"/>
      <c r="N86" s="14">
        <f t="shared" si="14"/>
        <v>0</v>
      </c>
      <c r="O86" s="14"/>
      <c r="P86" s="14">
        <f t="shared" si="15"/>
        <v>0</v>
      </c>
      <c r="Q86" s="4"/>
    </row>
    <row r="87" spans="2:17" ht="20.45" customHeight="1" x14ac:dyDescent="0.15">
      <c r="D87" s="4"/>
      <c r="E87" s="7"/>
      <c r="F87" s="9"/>
      <c r="G87" s="14"/>
      <c r="H87" s="14"/>
      <c r="I87" s="14">
        <f t="shared" si="12"/>
        <v>0</v>
      </c>
      <c r="J87" s="14"/>
      <c r="K87" s="14"/>
      <c r="L87" s="14">
        <f t="shared" si="13"/>
        <v>0</v>
      </c>
      <c r="M87" s="14"/>
      <c r="N87" s="14">
        <f t="shared" si="14"/>
        <v>0</v>
      </c>
      <c r="O87" s="14"/>
      <c r="P87" s="14">
        <f t="shared" si="15"/>
        <v>0</v>
      </c>
      <c r="Q87" s="4"/>
    </row>
    <row r="88" spans="2:17" ht="20.45" customHeight="1" x14ac:dyDescent="0.15">
      <c r="D88" s="4"/>
      <c r="E88" s="7"/>
      <c r="F88" s="9"/>
      <c r="G88" s="14"/>
      <c r="H88" s="14"/>
      <c r="I88" s="14">
        <f t="shared" si="12"/>
        <v>0</v>
      </c>
      <c r="J88" s="14"/>
      <c r="K88" s="14"/>
      <c r="L88" s="14">
        <f t="shared" si="13"/>
        <v>0</v>
      </c>
      <c r="M88" s="14"/>
      <c r="N88" s="14">
        <f t="shared" si="14"/>
        <v>0</v>
      </c>
      <c r="O88" s="14"/>
      <c r="P88" s="14">
        <f t="shared" si="15"/>
        <v>0</v>
      </c>
      <c r="Q88" s="4"/>
    </row>
    <row r="89" spans="2:17" ht="20.45" customHeight="1" x14ac:dyDescent="0.15">
      <c r="D89" s="4"/>
      <c r="E89" s="7"/>
      <c r="F89" s="9"/>
      <c r="G89" s="14"/>
      <c r="H89" s="14"/>
      <c r="I89" s="14">
        <f t="shared" si="12"/>
        <v>0</v>
      </c>
      <c r="J89" s="14"/>
      <c r="K89" s="14"/>
      <c r="L89" s="14">
        <f t="shared" si="13"/>
        <v>0</v>
      </c>
      <c r="M89" s="14"/>
      <c r="N89" s="14">
        <f t="shared" si="14"/>
        <v>0</v>
      </c>
      <c r="O89" s="14"/>
      <c r="P89" s="14">
        <f t="shared" si="15"/>
        <v>0</v>
      </c>
      <c r="Q89" s="4"/>
    </row>
    <row r="90" spans="2:17" ht="20.45" customHeight="1" x14ac:dyDescent="0.15">
      <c r="D90" s="4"/>
      <c r="E90" s="7"/>
      <c r="F90" s="9"/>
      <c r="G90" s="14"/>
      <c r="H90" s="14"/>
      <c r="I90" s="14">
        <f t="shared" si="12"/>
        <v>0</v>
      </c>
      <c r="J90" s="14"/>
      <c r="K90" s="14"/>
      <c r="L90" s="14">
        <f t="shared" si="13"/>
        <v>0</v>
      </c>
      <c r="M90" s="14"/>
      <c r="N90" s="14">
        <f t="shared" si="14"/>
        <v>0</v>
      </c>
      <c r="O90" s="14"/>
      <c r="P90" s="14">
        <f t="shared" si="15"/>
        <v>0</v>
      </c>
      <c r="Q90" s="4"/>
    </row>
    <row r="91" spans="2:17" ht="20.45" customHeight="1" x14ac:dyDescent="0.15">
      <c r="D91" s="4"/>
      <c r="E91" s="7"/>
      <c r="F91" s="9"/>
      <c r="G91" s="14"/>
      <c r="H91" s="14"/>
      <c r="I91" s="14">
        <f t="shared" si="12"/>
        <v>0</v>
      </c>
      <c r="J91" s="14"/>
      <c r="K91" s="14"/>
      <c r="L91" s="14">
        <f t="shared" si="13"/>
        <v>0</v>
      </c>
      <c r="M91" s="14"/>
      <c r="N91" s="14">
        <f t="shared" si="14"/>
        <v>0</v>
      </c>
      <c r="O91" s="14"/>
      <c r="P91" s="14">
        <f t="shared" si="15"/>
        <v>0</v>
      </c>
      <c r="Q91" s="4"/>
    </row>
    <row r="92" spans="2:17" ht="20.45" customHeight="1" x14ac:dyDescent="0.15">
      <c r="D92" s="4"/>
      <c r="E92" s="7"/>
      <c r="F92" s="9"/>
      <c r="G92" s="14"/>
      <c r="H92" s="14"/>
      <c r="I92" s="14">
        <f t="shared" si="12"/>
        <v>0</v>
      </c>
      <c r="J92" s="14"/>
      <c r="K92" s="14"/>
      <c r="L92" s="14">
        <f t="shared" si="13"/>
        <v>0</v>
      </c>
      <c r="M92" s="14"/>
      <c r="N92" s="14">
        <f t="shared" si="14"/>
        <v>0</v>
      </c>
      <c r="O92" s="14"/>
      <c r="P92" s="14">
        <f t="shared" si="15"/>
        <v>0</v>
      </c>
      <c r="Q92" s="4"/>
    </row>
    <row r="93" spans="2:17" ht="20.45" customHeight="1" x14ac:dyDescent="0.15">
      <c r="D93" s="4"/>
      <c r="E93" s="7"/>
      <c r="F93" s="9"/>
      <c r="G93" s="14"/>
      <c r="H93" s="14"/>
      <c r="I93" s="14">
        <f t="shared" si="12"/>
        <v>0</v>
      </c>
      <c r="J93" s="14"/>
      <c r="K93" s="14"/>
      <c r="L93" s="14">
        <f t="shared" si="13"/>
        <v>0</v>
      </c>
      <c r="M93" s="14"/>
      <c r="N93" s="14">
        <f t="shared" si="14"/>
        <v>0</v>
      </c>
      <c r="O93" s="14"/>
      <c r="P93" s="14">
        <f t="shared" si="15"/>
        <v>0</v>
      </c>
      <c r="Q93" s="4"/>
    </row>
    <row r="94" spans="2:17" ht="20.45" customHeight="1" x14ac:dyDescent="0.15">
      <c r="D94" s="4"/>
      <c r="E94" s="7"/>
      <c r="F94" s="9"/>
      <c r="G94" s="14"/>
      <c r="H94" s="14"/>
      <c r="I94" s="14">
        <f t="shared" si="12"/>
        <v>0</v>
      </c>
      <c r="J94" s="14"/>
      <c r="K94" s="14"/>
      <c r="L94" s="14">
        <f t="shared" si="13"/>
        <v>0</v>
      </c>
      <c r="M94" s="14"/>
      <c r="N94" s="14">
        <f t="shared" si="14"/>
        <v>0</v>
      </c>
      <c r="O94" s="14"/>
      <c r="P94" s="14">
        <f t="shared" si="15"/>
        <v>0</v>
      </c>
      <c r="Q94" s="4"/>
    </row>
    <row r="95" spans="2:17" ht="20.45" customHeight="1" x14ac:dyDescent="0.15">
      <c r="D95" s="4"/>
      <c r="E95" s="7"/>
      <c r="F95" s="9"/>
      <c r="G95" s="14"/>
      <c r="H95" s="14"/>
      <c r="I95" s="14">
        <f t="shared" si="12"/>
        <v>0</v>
      </c>
      <c r="J95" s="14"/>
      <c r="K95" s="14"/>
      <c r="L95" s="14">
        <f t="shared" si="13"/>
        <v>0</v>
      </c>
      <c r="M95" s="14"/>
      <c r="N95" s="14">
        <f t="shared" si="14"/>
        <v>0</v>
      </c>
      <c r="O95" s="14"/>
      <c r="P95" s="14">
        <f t="shared" si="15"/>
        <v>0</v>
      </c>
      <c r="Q95" s="4"/>
    </row>
    <row r="96" spans="2:17" ht="20.45" customHeight="1" x14ac:dyDescent="0.15">
      <c r="D96" s="4"/>
      <c r="E96" s="7"/>
      <c r="F96" s="9"/>
      <c r="G96" s="14"/>
      <c r="H96" s="14"/>
      <c r="I96" s="14">
        <f t="shared" si="12"/>
        <v>0</v>
      </c>
      <c r="J96" s="14"/>
      <c r="K96" s="14"/>
      <c r="L96" s="14">
        <f t="shared" si="13"/>
        <v>0</v>
      </c>
      <c r="M96" s="14"/>
      <c r="N96" s="14">
        <f t="shared" si="14"/>
        <v>0</v>
      </c>
      <c r="O96" s="14"/>
      <c r="P96" s="14">
        <f t="shared" si="15"/>
        <v>0</v>
      </c>
      <c r="Q96" s="4"/>
    </row>
    <row r="97" spans="2:17" ht="20.45" customHeight="1" x14ac:dyDescent="0.15">
      <c r="D97" s="4"/>
      <c r="E97" s="7"/>
      <c r="F97" s="9"/>
      <c r="G97" s="14"/>
      <c r="H97" s="14"/>
      <c r="I97" s="14">
        <f t="shared" si="12"/>
        <v>0</v>
      </c>
      <c r="J97" s="14"/>
      <c r="K97" s="14"/>
      <c r="L97" s="14">
        <f t="shared" si="13"/>
        <v>0</v>
      </c>
      <c r="M97" s="14"/>
      <c r="N97" s="14">
        <f t="shared" si="14"/>
        <v>0</v>
      </c>
      <c r="O97" s="14"/>
      <c r="P97" s="14">
        <f t="shared" si="15"/>
        <v>0</v>
      </c>
      <c r="Q97" s="4"/>
    </row>
    <row r="98" spans="2:17" ht="20.45" customHeight="1" x14ac:dyDescent="0.15">
      <c r="D98" s="4"/>
      <c r="E98" s="7"/>
      <c r="F98" s="9"/>
      <c r="G98" s="14"/>
      <c r="H98" s="14"/>
      <c r="I98" s="14">
        <f t="shared" si="12"/>
        <v>0</v>
      </c>
      <c r="J98" s="14"/>
      <c r="K98" s="14"/>
      <c r="L98" s="14">
        <f t="shared" si="13"/>
        <v>0</v>
      </c>
      <c r="M98" s="14"/>
      <c r="N98" s="14">
        <f t="shared" si="14"/>
        <v>0</v>
      </c>
      <c r="O98" s="14"/>
      <c r="P98" s="14">
        <f t="shared" si="15"/>
        <v>0</v>
      </c>
      <c r="Q98" s="4"/>
    </row>
    <row r="99" spans="2:17" ht="20.45" customHeight="1" x14ac:dyDescent="0.15">
      <c r="D99" s="4"/>
      <c r="E99" s="7"/>
      <c r="F99" s="9"/>
      <c r="G99" s="14"/>
      <c r="H99" s="14"/>
      <c r="I99" s="14">
        <f t="shared" si="12"/>
        <v>0</v>
      </c>
      <c r="J99" s="14"/>
      <c r="K99" s="14"/>
      <c r="L99" s="14">
        <f t="shared" si="13"/>
        <v>0</v>
      </c>
      <c r="M99" s="14"/>
      <c r="N99" s="14">
        <f t="shared" si="14"/>
        <v>0</v>
      </c>
      <c r="O99" s="14"/>
      <c r="P99" s="14">
        <f t="shared" si="15"/>
        <v>0</v>
      </c>
      <c r="Q99" s="4"/>
    </row>
    <row r="100" spans="2:17" ht="20.45" customHeight="1" x14ac:dyDescent="0.15">
      <c r="D100" s="4"/>
      <c r="E100" s="7"/>
      <c r="F100" s="9"/>
      <c r="G100" s="14"/>
      <c r="H100" s="14"/>
      <c r="I100" s="14">
        <f t="shared" si="12"/>
        <v>0</v>
      </c>
      <c r="J100" s="14"/>
      <c r="K100" s="14"/>
      <c r="L100" s="14">
        <f t="shared" si="13"/>
        <v>0</v>
      </c>
      <c r="M100" s="14"/>
      <c r="N100" s="14">
        <f t="shared" si="14"/>
        <v>0</v>
      </c>
      <c r="O100" s="14"/>
      <c r="P100" s="14">
        <f t="shared" si="15"/>
        <v>0</v>
      </c>
      <c r="Q100" s="4"/>
    </row>
    <row r="101" spans="2:17" ht="20.45" customHeight="1" x14ac:dyDescent="0.15">
      <c r="D101" s="4"/>
      <c r="E101" s="7"/>
      <c r="F101" s="9"/>
      <c r="G101" s="14"/>
      <c r="H101" s="14"/>
      <c r="I101" s="14">
        <f t="shared" si="12"/>
        <v>0</v>
      </c>
      <c r="J101" s="14"/>
      <c r="K101" s="14"/>
      <c r="L101" s="14">
        <f t="shared" si="13"/>
        <v>0</v>
      </c>
      <c r="M101" s="14"/>
      <c r="N101" s="14">
        <f t="shared" si="14"/>
        <v>0</v>
      </c>
      <c r="O101" s="14"/>
      <c r="P101" s="14">
        <f t="shared" si="15"/>
        <v>0</v>
      </c>
      <c r="Q101" s="4"/>
    </row>
    <row r="102" spans="2:17" ht="20.45" customHeight="1" x14ac:dyDescent="0.15">
      <c r="D102" s="4"/>
      <c r="E102" s="7"/>
      <c r="F102" s="9"/>
      <c r="G102" s="14"/>
      <c r="H102" s="14"/>
      <c r="I102" s="14">
        <f t="shared" si="12"/>
        <v>0</v>
      </c>
      <c r="J102" s="14"/>
      <c r="K102" s="14"/>
      <c r="L102" s="14">
        <f t="shared" si="13"/>
        <v>0</v>
      </c>
      <c r="M102" s="14"/>
      <c r="N102" s="14">
        <f t="shared" si="14"/>
        <v>0</v>
      </c>
      <c r="O102" s="14"/>
      <c r="P102" s="14">
        <f t="shared" si="15"/>
        <v>0</v>
      </c>
      <c r="Q102" s="4"/>
    </row>
    <row r="103" spans="2:17" ht="20.45" customHeight="1" x14ac:dyDescent="0.15">
      <c r="D103" s="4"/>
      <c r="E103" s="7"/>
      <c r="F103" s="9"/>
      <c r="G103" s="14"/>
      <c r="H103" s="14"/>
      <c r="I103" s="14">
        <f t="shared" si="12"/>
        <v>0</v>
      </c>
      <c r="J103" s="14"/>
      <c r="K103" s="14"/>
      <c r="L103" s="14">
        <f t="shared" si="13"/>
        <v>0</v>
      </c>
      <c r="M103" s="14"/>
      <c r="N103" s="14">
        <f t="shared" si="14"/>
        <v>0</v>
      </c>
      <c r="O103" s="14"/>
      <c r="P103" s="14">
        <f t="shared" si="15"/>
        <v>0</v>
      </c>
      <c r="Q103" s="4"/>
    </row>
    <row r="104" spans="2:17" ht="20.45" customHeight="1" x14ac:dyDescent="0.15">
      <c r="D104" s="4"/>
      <c r="E104" s="7"/>
      <c r="F104" s="9"/>
      <c r="G104" s="14"/>
      <c r="H104" s="14"/>
      <c r="I104" s="14">
        <f t="shared" si="12"/>
        <v>0</v>
      </c>
      <c r="J104" s="14"/>
      <c r="K104" s="14"/>
      <c r="L104" s="14">
        <f t="shared" si="13"/>
        <v>0</v>
      </c>
      <c r="M104" s="14"/>
      <c r="N104" s="14">
        <f t="shared" si="14"/>
        <v>0</v>
      </c>
      <c r="O104" s="14"/>
      <c r="P104" s="14">
        <f t="shared" si="15"/>
        <v>0</v>
      </c>
      <c r="Q104" s="4"/>
    </row>
    <row r="105" spans="2:17" ht="20.45" customHeight="1" x14ac:dyDescent="0.15">
      <c r="D105" s="4"/>
      <c r="E105" s="7"/>
      <c r="F105" s="9"/>
      <c r="G105" s="14"/>
      <c r="H105" s="14"/>
      <c r="I105" s="14">
        <f t="shared" si="12"/>
        <v>0</v>
      </c>
      <c r="J105" s="14"/>
      <c r="K105" s="14"/>
      <c r="L105" s="14">
        <f t="shared" si="13"/>
        <v>0</v>
      </c>
      <c r="M105" s="14"/>
      <c r="N105" s="14">
        <f t="shared" si="14"/>
        <v>0</v>
      </c>
      <c r="O105" s="14"/>
      <c r="P105" s="14">
        <f t="shared" si="15"/>
        <v>0</v>
      </c>
      <c r="Q105" s="4"/>
    </row>
    <row r="106" spans="2:17" ht="20.45" customHeight="1" x14ac:dyDescent="0.15">
      <c r="D106" s="4"/>
      <c r="E106" s="7"/>
      <c r="F106" s="9"/>
      <c r="G106" s="14"/>
      <c r="H106" s="14"/>
      <c r="I106" s="14">
        <f t="shared" si="12"/>
        <v>0</v>
      </c>
      <c r="J106" s="14"/>
      <c r="K106" s="14"/>
      <c r="L106" s="14">
        <f t="shared" si="13"/>
        <v>0</v>
      </c>
      <c r="M106" s="14"/>
      <c r="N106" s="14">
        <f t="shared" si="14"/>
        <v>0</v>
      </c>
      <c r="O106" s="14"/>
      <c r="P106" s="14">
        <f t="shared" si="15"/>
        <v>0</v>
      </c>
      <c r="Q106" s="4"/>
    </row>
    <row r="107" spans="2:17" ht="20.45" customHeight="1" x14ac:dyDescent="0.15">
      <c r="B107" s="5" t="s">
        <v>383</v>
      </c>
      <c r="C107" s="5" t="s">
        <v>382</v>
      </c>
      <c r="D107" s="4" t="s">
        <v>343</v>
      </c>
      <c r="E107" s="7"/>
      <c r="F107" s="9"/>
      <c r="G107" s="14"/>
      <c r="H107" s="14"/>
      <c r="I107" s="14">
        <f>TRUNC(SUM(I82:I106))</f>
        <v>0</v>
      </c>
      <c r="J107" s="14"/>
      <c r="K107" s="14"/>
      <c r="L107" s="14">
        <f>TRUNC(SUM(L82:L106))</f>
        <v>0</v>
      </c>
      <c r="M107" s="14"/>
      <c r="N107" s="14">
        <f>TRUNC(SUM(N82:N106))</f>
        <v>0</v>
      </c>
      <c r="O107" s="14"/>
      <c r="P107" s="14">
        <f>TRUNC(SUM(P82:P106))</f>
        <v>0</v>
      </c>
      <c r="Q107" s="4"/>
    </row>
  </sheetData>
  <mergeCells count="17">
    <mergeCell ref="D4:Q4"/>
    <mergeCell ref="D30:Q30"/>
    <mergeCell ref="D56:Q56"/>
    <mergeCell ref="D82:Q82"/>
    <mergeCell ref="J2:L2"/>
    <mergeCell ref="M2:N2"/>
    <mergeCell ref="D1:Q1"/>
    <mergeCell ref="A2:A3"/>
    <mergeCell ref="Q2:Q3"/>
    <mergeCell ref="B2:B3"/>
    <mergeCell ref="C2:C3"/>
    <mergeCell ref="E2:E3"/>
    <mergeCell ref="F2:F3"/>
    <mergeCell ref="G2:G3"/>
    <mergeCell ref="H2:I2"/>
    <mergeCell ref="P2:P3"/>
    <mergeCell ref="D2:D3"/>
  </mergeCells>
  <phoneticPr fontId="2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85" orientation="landscape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185"/>
  <sheetViews>
    <sheetView view="pageBreakPreview" topLeftCell="D1" zoomScaleNormal="100" zoomScaleSheetLayoutView="100" workbookViewId="0">
      <pane ySplit="3" topLeftCell="A4" activePane="bottomLeft" state="frozen"/>
      <selection activeCell="C1" sqref="C1:T1"/>
      <selection pane="bottomLeft" activeCell="K10" sqref="K10"/>
    </sheetView>
  </sheetViews>
  <sheetFormatPr defaultColWidth="8.88671875" defaultRowHeight="23.1" customHeight="1" x14ac:dyDescent="0.15"/>
  <cols>
    <col min="1" max="1" width="12.109375" style="5" hidden="1" customWidth="1"/>
    <col min="2" max="2" width="17.44140625" style="5" hidden="1" customWidth="1"/>
    <col min="3" max="3" width="20.6640625" style="5" hidden="1" customWidth="1"/>
    <col min="4" max="4" width="24.33203125" style="5" customWidth="1"/>
    <col min="5" max="5" width="25.33203125" style="5" customWidth="1"/>
    <col min="6" max="6" width="4.21875" style="8" customWidth="1"/>
    <col min="7" max="7" width="10" style="1" customWidth="1"/>
    <col min="8" max="8" width="13" style="13" customWidth="1"/>
    <col min="9" max="9" width="13.21875" style="13" customWidth="1"/>
    <col min="10" max="10" width="5.5546875" style="13" hidden="1" customWidth="1"/>
    <col min="11" max="11" width="10.44140625" style="13" customWidth="1"/>
    <col min="12" max="12" width="11.77734375" style="13" customWidth="1"/>
    <col min="13" max="13" width="8.44140625" style="13" customWidth="1"/>
    <col min="14" max="14" width="9.109375" style="13" customWidth="1"/>
    <col min="15" max="15" width="6" style="13" hidden="1" customWidth="1"/>
    <col min="16" max="16" width="13" style="13" customWidth="1"/>
    <col min="17" max="17" width="11.109375" style="5" customWidth="1"/>
    <col min="18" max="26" width="8.88671875" style="1"/>
    <col min="27" max="31" width="11.77734375" style="13" customWidth="1"/>
    <col min="32" max="16384" width="8.88671875" style="1"/>
  </cols>
  <sheetData>
    <row r="1" spans="1:31" ht="23.1" customHeight="1" x14ac:dyDescent="0.15">
      <c r="A1" s="5" t="s">
        <v>238</v>
      </c>
      <c r="B1" s="5" t="s">
        <v>378</v>
      </c>
      <c r="C1" s="5" t="s">
        <v>379</v>
      </c>
      <c r="D1" s="169" t="s">
        <v>483</v>
      </c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W1" s="168" t="s">
        <v>35</v>
      </c>
      <c r="X1" s="168"/>
      <c r="Y1" s="168"/>
      <c r="Z1" s="8"/>
      <c r="AA1" s="8" t="s">
        <v>40</v>
      </c>
      <c r="AB1" s="8"/>
      <c r="AC1" s="8"/>
      <c r="AD1" s="8"/>
      <c r="AE1" s="8"/>
    </row>
    <row r="2" spans="1:31" s="6" customFormat="1" ht="23.1" customHeight="1" x14ac:dyDescent="0.15">
      <c r="A2" s="158" t="s">
        <v>28</v>
      </c>
      <c r="B2" s="158" t="s">
        <v>6</v>
      </c>
      <c r="C2" s="158" t="s">
        <v>5</v>
      </c>
      <c r="D2" s="159" t="s">
        <v>33</v>
      </c>
      <c r="E2" s="159" t="s">
        <v>34</v>
      </c>
      <c r="F2" s="161" t="s">
        <v>0</v>
      </c>
      <c r="G2" s="161" t="s">
        <v>1</v>
      </c>
      <c r="H2" s="163" t="s">
        <v>8</v>
      </c>
      <c r="I2" s="163"/>
      <c r="J2" s="163" t="s">
        <v>9</v>
      </c>
      <c r="K2" s="163"/>
      <c r="L2" s="163"/>
      <c r="M2" s="163" t="s">
        <v>10</v>
      </c>
      <c r="N2" s="163"/>
      <c r="O2" s="18"/>
      <c r="P2" s="163" t="s">
        <v>14</v>
      </c>
      <c r="Q2" s="159" t="s">
        <v>12</v>
      </c>
      <c r="W2" s="6" t="s">
        <v>36</v>
      </c>
      <c r="X2" s="6" t="s">
        <v>37</v>
      </c>
      <c r="Y2" s="6" t="s">
        <v>38</v>
      </c>
      <c r="Z2" s="6" t="s">
        <v>39</v>
      </c>
      <c r="AA2" s="15" t="s">
        <v>69</v>
      </c>
      <c r="AB2" s="15" t="s">
        <v>68</v>
      </c>
      <c r="AC2" s="15" t="s">
        <v>41</v>
      </c>
      <c r="AD2" s="15" t="s">
        <v>43</v>
      </c>
      <c r="AE2" s="15" t="s">
        <v>42</v>
      </c>
    </row>
    <row r="3" spans="1:31" s="6" customFormat="1" ht="23.1" customHeight="1" x14ac:dyDescent="0.15">
      <c r="A3" s="158"/>
      <c r="B3" s="158"/>
      <c r="C3" s="158"/>
      <c r="D3" s="160"/>
      <c r="E3" s="160"/>
      <c r="F3" s="162"/>
      <c r="G3" s="162"/>
      <c r="H3" s="20" t="s">
        <v>15</v>
      </c>
      <c r="I3" s="20" t="s">
        <v>16</v>
      </c>
      <c r="J3" s="20" t="s">
        <v>1</v>
      </c>
      <c r="K3" s="20" t="s">
        <v>15</v>
      </c>
      <c r="L3" s="20" t="s">
        <v>16</v>
      </c>
      <c r="M3" s="20" t="s">
        <v>17</v>
      </c>
      <c r="N3" s="20" t="s">
        <v>16</v>
      </c>
      <c r="O3" s="20" t="s">
        <v>18</v>
      </c>
      <c r="P3" s="164"/>
      <c r="Q3" s="160"/>
      <c r="W3" s="1"/>
      <c r="X3" s="1"/>
      <c r="Y3" s="1"/>
      <c r="Z3" s="1"/>
      <c r="AA3" s="13"/>
      <c r="AB3" s="13"/>
      <c r="AC3" s="13"/>
      <c r="AD3" s="13" t="e">
        <f xml:space="preserve"> IF(#REF! =0, "1",#REF!)</f>
        <v>#REF!</v>
      </c>
      <c r="AE3" s="13" t="e">
        <f xml:space="preserve"> IF(#REF! =0, "1",#REF!)</f>
        <v>#REF!</v>
      </c>
    </row>
    <row r="4" spans="1:31" ht="23.1" customHeight="1" x14ac:dyDescent="0.15">
      <c r="B4" s="5" t="s">
        <v>240</v>
      </c>
      <c r="D4" s="165" t="s">
        <v>344</v>
      </c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7"/>
    </row>
    <row r="5" spans="1:31" ht="23.1" customHeight="1" x14ac:dyDescent="0.15">
      <c r="A5" s="5" t="s">
        <v>345</v>
      </c>
      <c r="B5" s="5" t="s">
        <v>346</v>
      </c>
      <c r="C5" s="5" t="s">
        <v>95</v>
      </c>
      <c r="D5" s="4" t="s">
        <v>86</v>
      </c>
      <c r="E5" s="4" t="s">
        <v>96</v>
      </c>
      <c r="F5" s="9" t="s">
        <v>90</v>
      </c>
      <c r="G5" s="7">
        <v>2</v>
      </c>
      <c r="H5" s="14"/>
      <c r="I5" s="19"/>
      <c r="J5" s="14"/>
      <c r="K5" s="14"/>
      <c r="L5" s="19"/>
      <c r="M5" s="14"/>
      <c r="N5" s="19"/>
      <c r="O5" s="14"/>
      <c r="P5" s="14"/>
      <c r="Q5" s="4"/>
    </row>
    <row r="6" spans="1:31" ht="23.1" customHeight="1" x14ac:dyDescent="0.15">
      <c r="A6" s="5" t="s">
        <v>264</v>
      </c>
      <c r="B6" s="5" t="s">
        <v>346</v>
      </c>
      <c r="C6" s="5" t="s">
        <v>265</v>
      </c>
      <c r="D6" s="4" t="s">
        <v>86</v>
      </c>
      <c r="E6" s="4" t="s">
        <v>106</v>
      </c>
      <c r="F6" s="9" t="s">
        <v>80</v>
      </c>
      <c r="G6" s="7">
        <v>30</v>
      </c>
      <c r="H6" s="14"/>
      <c r="I6" s="14"/>
      <c r="J6" s="14"/>
      <c r="K6" s="14"/>
      <c r="L6" s="14"/>
      <c r="M6" s="14"/>
      <c r="N6" s="14"/>
      <c r="O6" s="14"/>
      <c r="P6" s="14"/>
      <c r="Q6" s="4"/>
      <c r="AC6" s="13">
        <f>G6*H6</f>
        <v>0</v>
      </c>
    </row>
    <row r="7" spans="1:31" ht="23.1" customHeight="1" x14ac:dyDescent="0.15">
      <c r="A7" s="5" t="s">
        <v>278</v>
      </c>
      <c r="B7" s="5" t="s">
        <v>346</v>
      </c>
      <c r="C7" s="5" t="s">
        <v>279</v>
      </c>
      <c r="D7" s="4" t="s">
        <v>121</v>
      </c>
      <c r="E7" s="4" t="s">
        <v>128</v>
      </c>
      <c r="F7" s="9" t="s">
        <v>90</v>
      </c>
      <c r="G7" s="7">
        <v>1</v>
      </c>
      <c r="H7" s="14"/>
      <c r="I7" s="14"/>
      <c r="J7" s="14"/>
      <c r="K7" s="14"/>
      <c r="L7" s="14"/>
      <c r="M7" s="14"/>
      <c r="N7" s="14"/>
      <c r="O7" s="14"/>
      <c r="P7" s="14"/>
      <c r="Q7" s="4"/>
    </row>
    <row r="8" spans="1:31" ht="23.1" customHeight="1" x14ac:dyDescent="0.15">
      <c r="A8" s="5" t="s">
        <v>280</v>
      </c>
      <c r="B8" s="5" t="s">
        <v>346</v>
      </c>
      <c r="C8" s="5" t="s">
        <v>281</v>
      </c>
      <c r="D8" s="4" t="s">
        <v>121</v>
      </c>
      <c r="E8" s="4" t="s">
        <v>130</v>
      </c>
      <c r="F8" s="9" t="s">
        <v>90</v>
      </c>
      <c r="G8" s="7">
        <v>1</v>
      </c>
      <c r="H8" s="14"/>
      <c r="I8" s="14"/>
      <c r="J8" s="14"/>
      <c r="K8" s="14"/>
      <c r="L8" s="14"/>
      <c r="M8" s="14"/>
      <c r="N8" s="14"/>
      <c r="O8" s="14"/>
      <c r="P8" s="14"/>
      <c r="Q8" s="4"/>
    </row>
    <row r="9" spans="1:31" ht="23.1" customHeight="1" x14ac:dyDescent="0.15">
      <c r="A9" s="5" t="s">
        <v>347</v>
      </c>
      <c r="B9" s="5" t="s">
        <v>346</v>
      </c>
      <c r="C9" s="5" t="s">
        <v>142</v>
      </c>
      <c r="D9" s="4" t="s">
        <v>143</v>
      </c>
      <c r="E9" s="4" t="s">
        <v>144</v>
      </c>
      <c r="F9" s="9" t="s">
        <v>90</v>
      </c>
      <c r="G9" s="7">
        <v>13</v>
      </c>
      <c r="H9" s="14"/>
      <c r="I9" s="14"/>
      <c r="J9" s="14"/>
      <c r="K9" s="14"/>
      <c r="L9" s="14"/>
      <c r="M9" s="14"/>
      <c r="N9" s="14"/>
      <c r="O9" s="14"/>
      <c r="P9" s="14"/>
      <c r="Q9" s="4"/>
    </row>
    <row r="10" spans="1:31" ht="23.1" customHeight="1" x14ac:dyDescent="0.15">
      <c r="A10" s="5" t="s">
        <v>348</v>
      </c>
      <c r="B10" s="5" t="s">
        <v>346</v>
      </c>
      <c r="C10" s="5" t="s">
        <v>145</v>
      </c>
      <c r="D10" s="4" t="s">
        <v>143</v>
      </c>
      <c r="E10" s="4" t="s">
        <v>146</v>
      </c>
      <c r="F10" s="9" t="s">
        <v>90</v>
      </c>
      <c r="G10" s="7">
        <v>130</v>
      </c>
      <c r="H10" s="14"/>
      <c r="I10" s="14"/>
      <c r="J10" s="14"/>
      <c r="K10" s="14"/>
      <c r="L10" s="14"/>
      <c r="M10" s="14"/>
      <c r="N10" s="14"/>
      <c r="O10" s="14"/>
      <c r="P10" s="14"/>
      <c r="Q10" s="4"/>
    </row>
    <row r="11" spans="1:31" ht="23.1" customHeight="1" x14ac:dyDescent="0.15">
      <c r="A11" s="5" t="s">
        <v>349</v>
      </c>
      <c r="B11" s="5" t="s">
        <v>346</v>
      </c>
      <c r="C11" s="5" t="s">
        <v>147</v>
      </c>
      <c r="D11" s="4" t="s">
        <v>143</v>
      </c>
      <c r="E11" s="4" t="s">
        <v>148</v>
      </c>
      <c r="F11" s="9" t="s">
        <v>90</v>
      </c>
      <c r="G11" s="7">
        <v>13</v>
      </c>
      <c r="H11" s="14"/>
      <c r="I11" s="14"/>
      <c r="J11" s="14"/>
      <c r="K11" s="14"/>
      <c r="L11" s="14"/>
      <c r="M11" s="14"/>
      <c r="N11" s="14"/>
      <c r="O11" s="14"/>
      <c r="P11" s="14"/>
      <c r="Q11" s="4"/>
    </row>
    <row r="12" spans="1:31" ht="23.1" customHeight="1" x14ac:dyDescent="0.15">
      <c r="A12" s="5" t="s">
        <v>284</v>
      </c>
      <c r="B12" s="5" t="s">
        <v>346</v>
      </c>
      <c r="C12" s="5" t="s">
        <v>285</v>
      </c>
      <c r="D12" s="4" t="s">
        <v>150</v>
      </c>
      <c r="E12" s="4" t="s">
        <v>151</v>
      </c>
      <c r="F12" s="9" t="s">
        <v>80</v>
      </c>
      <c r="G12" s="7">
        <v>21</v>
      </c>
      <c r="H12" s="14"/>
      <c r="I12" s="14"/>
      <c r="J12" s="14"/>
      <c r="K12" s="14"/>
      <c r="L12" s="14"/>
      <c r="M12" s="14"/>
      <c r="N12" s="14"/>
      <c r="O12" s="14"/>
      <c r="P12" s="14"/>
      <c r="Q12" s="4"/>
    </row>
    <row r="13" spans="1:31" ht="23.1" customHeight="1" x14ac:dyDescent="0.15">
      <c r="A13" s="5" t="s">
        <v>296</v>
      </c>
      <c r="B13" s="5" t="s">
        <v>346</v>
      </c>
      <c r="C13" s="5" t="s">
        <v>297</v>
      </c>
      <c r="D13" s="4" t="s">
        <v>169</v>
      </c>
      <c r="E13" s="4" t="s">
        <v>172</v>
      </c>
      <c r="F13" s="9" t="s">
        <v>80</v>
      </c>
      <c r="G13" s="7">
        <v>116</v>
      </c>
      <c r="H13" s="14"/>
      <c r="I13" s="14"/>
      <c r="J13" s="14"/>
      <c r="K13" s="14"/>
      <c r="L13" s="14"/>
      <c r="M13" s="14"/>
      <c r="N13" s="14"/>
      <c r="O13" s="14"/>
      <c r="P13" s="14"/>
      <c r="Q13" s="4"/>
      <c r="AC13" s="13">
        <f>G13*H13</f>
        <v>0</v>
      </c>
    </row>
    <row r="14" spans="1:31" ht="23.1" customHeight="1" x14ac:dyDescent="0.15">
      <c r="A14" s="5" t="s">
        <v>320</v>
      </c>
      <c r="B14" s="5" t="s">
        <v>346</v>
      </c>
      <c r="C14" s="5" t="s">
        <v>321</v>
      </c>
      <c r="D14" s="4" t="s">
        <v>205</v>
      </c>
      <c r="E14" s="4" t="s">
        <v>206</v>
      </c>
      <c r="F14" s="9" t="s">
        <v>80</v>
      </c>
      <c r="G14" s="7">
        <v>464</v>
      </c>
      <c r="H14" s="14"/>
      <c r="I14" s="14"/>
      <c r="J14" s="14"/>
      <c r="K14" s="14"/>
      <c r="L14" s="14"/>
      <c r="M14" s="14"/>
      <c r="N14" s="14"/>
      <c r="O14" s="14"/>
      <c r="P14" s="14"/>
      <c r="Q14" s="4"/>
      <c r="AC14" s="13">
        <f>G14*H14</f>
        <v>0</v>
      </c>
    </row>
    <row r="15" spans="1:31" ht="23.1" customHeight="1" x14ac:dyDescent="0.15">
      <c r="A15" s="5" t="s">
        <v>324</v>
      </c>
      <c r="B15" s="5" t="s">
        <v>346</v>
      </c>
      <c r="C15" s="5" t="s">
        <v>325</v>
      </c>
      <c r="D15" s="4" t="s">
        <v>209</v>
      </c>
      <c r="E15" s="4" t="s">
        <v>210</v>
      </c>
      <c r="F15" s="9" t="s">
        <v>211</v>
      </c>
      <c r="G15" s="7">
        <v>1</v>
      </c>
      <c r="H15" s="14"/>
      <c r="I15" s="14"/>
      <c r="J15" s="14"/>
      <c r="K15" s="14"/>
      <c r="L15" s="14"/>
      <c r="M15" s="14"/>
      <c r="N15" s="14"/>
      <c r="O15" s="14"/>
      <c r="P15" s="14"/>
      <c r="Q15" s="4"/>
    </row>
    <row r="16" spans="1:31" ht="23.1" customHeight="1" x14ac:dyDescent="0.15">
      <c r="D16" s="4"/>
      <c r="E16" s="4"/>
      <c r="F16" s="9"/>
      <c r="G16" s="7"/>
      <c r="H16" s="14"/>
      <c r="I16" s="14"/>
      <c r="J16" s="14"/>
      <c r="K16" s="14"/>
      <c r="L16" s="14"/>
      <c r="M16" s="14"/>
      <c r="N16" s="14"/>
      <c r="O16" s="14"/>
      <c r="P16" s="14"/>
      <c r="Q16" s="4"/>
      <c r="AE16" s="13">
        <f>TRUNC(SUM(AE4:AE15))</f>
        <v>0</v>
      </c>
    </row>
    <row r="17" spans="1:29" ht="23.1" customHeight="1" x14ac:dyDescent="0.15">
      <c r="D17" s="4"/>
      <c r="E17" s="4"/>
      <c r="F17" s="9"/>
      <c r="G17" s="7"/>
      <c r="H17" s="14"/>
      <c r="I17" s="14"/>
      <c r="J17" s="14"/>
      <c r="K17" s="14"/>
      <c r="L17" s="14"/>
      <c r="M17" s="14"/>
      <c r="N17" s="14"/>
      <c r="O17" s="14"/>
      <c r="P17" s="14"/>
      <c r="Q17" s="4"/>
    </row>
    <row r="18" spans="1:29" ht="23.1" customHeight="1" x14ac:dyDescent="0.15">
      <c r="D18" s="4"/>
      <c r="E18" s="4"/>
      <c r="F18" s="9"/>
      <c r="G18" s="7"/>
      <c r="H18" s="14"/>
      <c r="I18" s="14"/>
      <c r="J18" s="14"/>
      <c r="K18" s="14"/>
      <c r="L18" s="14"/>
      <c r="M18" s="14"/>
      <c r="N18" s="14"/>
      <c r="O18" s="14"/>
      <c r="P18" s="14"/>
      <c r="Q18" s="4"/>
    </row>
    <row r="19" spans="1:29" ht="23.1" customHeight="1" x14ac:dyDescent="0.15">
      <c r="D19" s="4"/>
      <c r="E19" s="4"/>
      <c r="F19" s="9"/>
      <c r="G19" s="7"/>
      <c r="H19" s="14"/>
      <c r="I19" s="14"/>
      <c r="J19" s="14"/>
      <c r="K19" s="14"/>
      <c r="L19" s="14"/>
      <c r="M19" s="14"/>
      <c r="N19" s="14"/>
      <c r="O19" s="14"/>
      <c r="P19" s="14"/>
      <c r="Q19" s="4"/>
    </row>
    <row r="20" spans="1:29" ht="23.1" customHeight="1" x14ac:dyDescent="0.15">
      <c r="D20" s="4"/>
      <c r="E20" s="4"/>
      <c r="F20" s="9"/>
      <c r="G20" s="7"/>
      <c r="H20" s="14"/>
      <c r="I20" s="14"/>
      <c r="J20" s="14"/>
      <c r="K20" s="14"/>
      <c r="L20" s="14"/>
      <c r="M20" s="14"/>
      <c r="N20" s="14"/>
      <c r="O20" s="14"/>
      <c r="P20" s="14"/>
      <c r="Q20" s="4"/>
    </row>
    <row r="21" spans="1:29" ht="23.1" customHeight="1" x14ac:dyDescent="0.15">
      <c r="D21" s="4"/>
      <c r="E21" s="4"/>
      <c r="F21" s="9"/>
      <c r="G21" s="7"/>
      <c r="H21" s="14"/>
      <c r="I21" s="14"/>
      <c r="J21" s="14"/>
      <c r="K21" s="14"/>
      <c r="L21" s="14"/>
      <c r="M21" s="14"/>
      <c r="N21" s="14"/>
      <c r="O21" s="14"/>
      <c r="P21" s="14"/>
      <c r="Q21" s="4"/>
    </row>
    <row r="22" spans="1:29" ht="23.1" customHeight="1" x14ac:dyDescent="0.15">
      <c r="D22" s="4"/>
      <c r="E22" s="4"/>
      <c r="F22" s="9"/>
      <c r="G22" s="7"/>
      <c r="H22" s="14"/>
      <c r="I22" s="14"/>
      <c r="J22" s="14"/>
      <c r="K22" s="14"/>
      <c r="L22" s="14"/>
      <c r="M22" s="14"/>
      <c r="N22" s="14"/>
      <c r="O22" s="14"/>
      <c r="P22" s="14"/>
      <c r="Q22" s="4"/>
    </row>
    <row r="23" spans="1:29" ht="23.1" customHeight="1" x14ac:dyDescent="0.15">
      <c r="D23" s="4"/>
      <c r="E23" s="4"/>
      <c r="F23" s="9"/>
      <c r="G23" s="7"/>
      <c r="H23" s="14"/>
      <c r="I23" s="14"/>
      <c r="J23" s="14"/>
      <c r="K23" s="14"/>
      <c r="L23" s="14"/>
      <c r="M23" s="14"/>
      <c r="N23" s="14"/>
      <c r="O23" s="14"/>
      <c r="P23" s="14"/>
      <c r="Q23" s="4"/>
    </row>
    <row r="24" spans="1:29" ht="23.1" customHeight="1" x14ac:dyDescent="0.15">
      <c r="D24" s="4"/>
      <c r="E24" s="4"/>
      <c r="F24" s="9"/>
      <c r="G24" s="7"/>
      <c r="H24" s="14"/>
      <c r="I24" s="14">
        <f t="shared" ref="I5:I28" si="0">TRUNC(G24*H24)</f>
        <v>0</v>
      </c>
      <c r="J24" s="14"/>
      <c r="K24" s="14"/>
      <c r="L24" s="14">
        <f t="shared" ref="L5:L28" si="1">TRUNC(G24*K24)</f>
        <v>0</v>
      </c>
      <c r="M24" s="14"/>
      <c r="N24" s="14">
        <f t="shared" ref="N5:N28" si="2">TRUNC(G24*M24)</f>
        <v>0</v>
      </c>
      <c r="O24" s="14"/>
      <c r="P24" s="14">
        <f t="shared" ref="P5:P28" si="3">SUM(I24,L24,N24)</f>
        <v>0</v>
      </c>
      <c r="Q24" s="4"/>
    </row>
    <row r="25" spans="1:29" ht="23.1" customHeight="1" x14ac:dyDescent="0.15">
      <c r="D25" s="4"/>
      <c r="E25" s="4"/>
      <c r="F25" s="9"/>
      <c r="G25" s="7"/>
      <c r="H25" s="14"/>
      <c r="I25" s="14">
        <f t="shared" si="0"/>
        <v>0</v>
      </c>
      <c r="J25" s="14"/>
      <c r="K25" s="14"/>
      <c r="L25" s="14">
        <f t="shared" si="1"/>
        <v>0</v>
      </c>
      <c r="M25" s="14"/>
      <c r="N25" s="14">
        <f t="shared" si="2"/>
        <v>0</v>
      </c>
      <c r="O25" s="14"/>
      <c r="P25" s="14">
        <f t="shared" si="3"/>
        <v>0</v>
      </c>
      <c r="Q25" s="4"/>
    </row>
    <row r="26" spans="1:29" ht="23.1" customHeight="1" x14ac:dyDescent="0.15">
      <c r="D26" s="4"/>
      <c r="E26" s="4"/>
      <c r="F26" s="9"/>
      <c r="G26" s="7"/>
      <c r="H26" s="14"/>
      <c r="I26" s="14">
        <f t="shared" si="0"/>
        <v>0</v>
      </c>
      <c r="J26" s="14"/>
      <c r="K26" s="14"/>
      <c r="L26" s="14">
        <f t="shared" si="1"/>
        <v>0</v>
      </c>
      <c r="M26" s="14"/>
      <c r="N26" s="14">
        <f t="shared" si="2"/>
        <v>0</v>
      </c>
      <c r="O26" s="14"/>
      <c r="P26" s="14">
        <f t="shared" si="3"/>
        <v>0</v>
      </c>
      <c r="Q26" s="4"/>
    </row>
    <row r="27" spans="1:29" ht="23.1" customHeight="1" x14ac:dyDescent="0.15">
      <c r="D27" s="4"/>
      <c r="E27" s="4"/>
      <c r="F27" s="9"/>
      <c r="G27" s="7"/>
      <c r="H27" s="14"/>
      <c r="I27" s="14">
        <f t="shared" si="0"/>
        <v>0</v>
      </c>
      <c r="J27" s="14"/>
      <c r="K27" s="14"/>
      <c r="L27" s="14">
        <f t="shared" si="1"/>
        <v>0</v>
      </c>
      <c r="M27" s="14"/>
      <c r="N27" s="14">
        <f t="shared" si="2"/>
        <v>0</v>
      </c>
      <c r="O27" s="14"/>
      <c r="P27" s="14">
        <f t="shared" si="3"/>
        <v>0</v>
      </c>
      <c r="Q27" s="4"/>
    </row>
    <row r="28" spans="1:29" ht="23.1" customHeight="1" x14ac:dyDescent="0.15">
      <c r="D28" s="4"/>
      <c r="E28" s="4"/>
      <c r="F28" s="9"/>
      <c r="G28" s="7"/>
      <c r="H28" s="14"/>
      <c r="I28" s="14">
        <f t="shared" si="0"/>
        <v>0</v>
      </c>
      <c r="J28" s="14"/>
      <c r="K28" s="14"/>
      <c r="L28" s="14">
        <f t="shared" si="1"/>
        <v>0</v>
      </c>
      <c r="M28" s="14"/>
      <c r="N28" s="14">
        <f t="shared" si="2"/>
        <v>0</v>
      </c>
      <c r="O28" s="14"/>
      <c r="P28" s="14">
        <f t="shared" si="3"/>
        <v>0</v>
      </c>
      <c r="Q28" s="4"/>
    </row>
    <row r="29" spans="1:29" ht="23.1" customHeight="1" x14ac:dyDescent="0.15">
      <c r="B29" s="5" t="s">
        <v>342</v>
      </c>
      <c r="D29" s="4" t="s">
        <v>343</v>
      </c>
      <c r="E29" s="4"/>
      <c r="F29" s="9"/>
      <c r="G29" s="7"/>
      <c r="H29" s="14"/>
      <c r="I29" s="14">
        <f>TRUNC(SUM(I4:I28))</f>
        <v>0</v>
      </c>
      <c r="J29" s="14"/>
      <c r="K29" s="14"/>
      <c r="L29" s="14">
        <f>TRUNC(SUM(L4:L28))</f>
        <v>0</v>
      </c>
      <c r="M29" s="14"/>
      <c r="N29" s="14">
        <f>TRUNC(SUM(N4:N28))</f>
        <v>0</v>
      </c>
      <c r="O29" s="14"/>
      <c r="P29" s="14">
        <f>TRUNC(SUM(P4:P28))</f>
        <v>0</v>
      </c>
      <c r="Q29" s="4"/>
    </row>
    <row r="30" spans="1:29" ht="23.1" customHeight="1" x14ac:dyDescent="0.15">
      <c r="B30" s="5" t="s">
        <v>240</v>
      </c>
      <c r="D30" s="165" t="s">
        <v>350</v>
      </c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7"/>
    </row>
    <row r="31" spans="1:29" ht="23.1" customHeight="1" x14ac:dyDescent="0.15">
      <c r="A31" s="5" t="s">
        <v>252</v>
      </c>
      <c r="B31" s="5" t="s">
        <v>351</v>
      </c>
      <c r="C31" s="5" t="s">
        <v>253</v>
      </c>
      <c r="D31" s="4" t="s">
        <v>78</v>
      </c>
      <c r="E31" s="4" t="s">
        <v>82</v>
      </c>
      <c r="F31" s="9" t="s">
        <v>80</v>
      </c>
      <c r="G31" s="7">
        <v>3</v>
      </c>
      <c r="H31" s="14"/>
      <c r="I31" s="14"/>
      <c r="J31" s="14"/>
      <c r="K31" s="14"/>
      <c r="L31" s="14"/>
      <c r="M31" s="14"/>
      <c r="N31" s="14"/>
      <c r="O31" s="14"/>
      <c r="P31" s="14"/>
      <c r="Q31" s="4"/>
      <c r="AA31" s="13">
        <f>G31*H31</f>
        <v>0</v>
      </c>
      <c r="AC31" s="13">
        <f>G31*H31</f>
        <v>0</v>
      </c>
    </row>
    <row r="32" spans="1:29" ht="23.1" customHeight="1" x14ac:dyDescent="0.15">
      <c r="A32" s="5" t="s">
        <v>254</v>
      </c>
      <c r="B32" s="5" t="s">
        <v>351</v>
      </c>
      <c r="C32" s="5" t="s">
        <v>255</v>
      </c>
      <c r="D32" s="4" t="s">
        <v>78</v>
      </c>
      <c r="E32" s="4" t="s">
        <v>84</v>
      </c>
      <c r="F32" s="9" t="s">
        <v>80</v>
      </c>
      <c r="G32" s="7">
        <v>3</v>
      </c>
      <c r="H32" s="14"/>
      <c r="I32" s="14"/>
      <c r="J32" s="14"/>
      <c r="K32" s="14"/>
      <c r="L32" s="14"/>
      <c r="M32" s="14"/>
      <c r="N32" s="14"/>
      <c r="O32" s="14"/>
      <c r="P32" s="14"/>
      <c r="Q32" s="4"/>
      <c r="AA32" s="13">
        <f>G32*H32</f>
        <v>0</v>
      </c>
      <c r="AC32" s="13">
        <f>G32*H32</f>
        <v>0</v>
      </c>
    </row>
    <row r="33" spans="1:29" ht="23.1" customHeight="1" x14ac:dyDescent="0.15">
      <c r="A33" s="5" t="s">
        <v>352</v>
      </c>
      <c r="B33" s="5" t="s">
        <v>351</v>
      </c>
      <c r="C33" s="5" t="s">
        <v>88</v>
      </c>
      <c r="D33" s="4" t="s">
        <v>86</v>
      </c>
      <c r="E33" s="4" t="s">
        <v>89</v>
      </c>
      <c r="F33" s="9" t="s">
        <v>90</v>
      </c>
      <c r="G33" s="7">
        <v>50</v>
      </c>
      <c r="H33" s="14"/>
      <c r="I33" s="14"/>
      <c r="J33" s="14"/>
      <c r="K33" s="14"/>
      <c r="L33" s="14"/>
      <c r="M33" s="14"/>
      <c r="N33" s="14"/>
      <c r="O33" s="14"/>
      <c r="P33" s="14"/>
      <c r="Q33" s="4"/>
    </row>
    <row r="34" spans="1:29" ht="23.1" customHeight="1" x14ac:dyDescent="0.15">
      <c r="A34" s="5" t="s">
        <v>353</v>
      </c>
      <c r="B34" s="5" t="s">
        <v>351</v>
      </c>
      <c r="C34" s="5" t="s">
        <v>91</v>
      </c>
      <c r="D34" s="4" t="s">
        <v>86</v>
      </c>
      <c r="E34" s="4" t="s">
        <v>92</v>
      </c>
      <c r="F34" s="9" t="s">
        <v>90</v>
      </c>
      <c r="G34" s="7">
        <v>6</v>
      </c>
      <c r="H34" s="14"/>
      <c r="I34" s="14"/>
      <c r="J34" s="14"/>
      <c r="K34" s="14"/>
      <c r="L34" s="14"/>
      <c r="M34" s="14"/>
      <c r="N34" s="14"/>
      <c r="O34" s="14"/>
      <c r="P34" s="14"/>
      <c r="Q34" s="4"/>
    </row>
    <row r="35" spans="1:29" ht="23.1" customHeight="1" x14ac:dyDescent="0.15">
      <c r="A35" s="5" t="s">
        <v>258</v>
      </c>
      <c r="B35" s="5" t="s">
        <v>351</v>
      </c>
      <c r="C35" s="5" t="s">
        <v>259</v>
      </c>
      <c r="D35" s="4" t="s">
        <v>86</v>
      </c>
      <c r="E35" s="4" t="s">
        <v>100</v>
      </c>
      <c r="F35" s="9" t="s">
        <v>80</v>
      </c>
      <c r="G35" s="7">
        <v>229</v>
      </c>
      <c r="H35" s="14"/>
      <c r="I35" s="14"/>
      <c r="J35" s="14"/>
      <c r="K35" s="14"/>
      <c r="L35" s="14"/>
      <c r="M35" s="14"/>
      <c r="N35" s="14"/>
      <c r="O35" s="14"/>
      <c r="P35" s="14"/>
      <c r="Q35" s="4"/>
      <c r="AC35" s="13">
        <f>G35*H35</f>
        <v>0</v>
      </c>
    </row>
    <row r="36" spans="1:29" ht="23.1" customHeight="1" x14ac:dyDescent="0.15">
      <c r="A36" s="5" t="s">
        <v>260</v>
      </c>
      <c r="B36" s="5" t="s">
        <v>351</v>
      </c>
      <c r="C36" s="5" t="s">
        <v>261</v>
      </c>
      <c r="D36" s="4" t="s">
        <v>86</v>
      </c>
      <c r="E36" s="4" t="s">
        <v>102</v>
      </c>
      <c r="F36" s="9" t="s">
        <v>80</v>
      </c>
      <c r="G36" s="7">
        <v>9</v>
      </c>
      <c r="H36" s="14"/>
      <c r="I36" s="14"/>
      <c r="J36" s="14"/>
      <c r="K36" s="14"/>
      <c r="L36" s="14"/>
      <c r="M36" s="14"/>
      <c r="N36" s="14"/>
      <c r="O36" s="14"/>
      <c r="P36" s="14"/>
      <c r="Q36" s="4"/>
      <c r="AC36" s="13">
        <f>G36*H36</f>
        <v>0</v>
      </c>
    </row>
    <row r="37" spans="1:29" ht="23.1" customHeight="1" x14ac:dyDescent="0.15">
      <c r="A37" s="5" t="s">
        <v>266</v>
      </c>
      <c r="B37" s="5" t="s">
        <v>351</v>
      </c>
      <c r="C37" s="5" t="s">
        <v>267</v>
      </c>
      <c r="D37" s="4" t="s">
        <v>108</v>
      </c>
      <c r="E37" s="4" t="s">
        <v>109</v>
      </c>
      <c r="F37" s="9" t="s">
        <v>90</v>
      </c>
      <c r="G37" s="7">
        <v>18</v>
      </c>
      <c r="H37" s="14"/>
      <c r="I37" s="14"/>
      <c r="J37" s="14"/>
      <c r="K37" s="14"/>
      <c r="L37" s="14"/>
      <c r="M37" s="14"/>
      <c r="N37" s="14"/>
      <c r="O37" s="14"/>
      <c r="P37" s="14"/>
      <c r="Q37" s="4"/>
    </row>
    <row r="38" spans="1:29" ht="23.1" customHeight="1" x14ac:dyDescent="0.15">
      <c r="A38" s="5" t="s">
        <v>268</v>
      </c>
      <c r="B38" s="5" t="s">
        <v>351</v>
      </c>
      <c r="C38" s="5" t="s">
        <v>269</v>
      </c>
      <c r="D38" s="4" t="s">
        <v>111</v>
      </c>
      <c r="E38" s="4" t="s">
        <v>112</v>
      </c>
      <c r="F38" s="9" t="s">
        <v>90</v>
      </c>
      <c r="G38" s="7">
        <v>7</v>
      </c>
      <c r="H38" s="14"/>
      <c r="I38" s="14"/>
      <c r="J38" s="14"/>
      <c r="K38" s="14"/>
      <c r="L38" s="14"/>
      <c r="M38" s="14"/>
      <c r="N38" s="14"/>
      <c r="O38" s="14"/>
      <c r="P38" s="14"/>
      <c r="Q38" s="4"/>
    </row>
    <row r="39" spans="1:29" ht="23.1" customHeight="1" x14ac:dyDescent="0.15">
      <c r="A39" s="5" t="s">
        <v>270</v>
      </c>
      <c r="B39" s="5" t="s">
        <v>351</v>
      </c>
      <c r="C39" s="5" t="s">
        <v>271</v>
      </c>
      <c r="D39" s="4" t="s">
        <v>114</v>
      </c>
      <c r="E39" s="4" t="s">
        <v>109</v>
      </c>
      <c r="F39" s="9" t="s">
        <v>90</v>
      </c>
      <c r="G39" s="7">
        <v>9</v>
      </c>
      <c r="H39" s="14"/>
      <c r="I39" s="14"/>
      <c r="J39" s="14"/>
      <c r="K39" s="14"/>
      <c r="L39" s="14"/>
      <c r="M39" s="14"/>
      <c r="N39" s="14"/>
      <c r="O39" s="14"/>
      <c r="P39" s="14"/>
      <c r="Q39" s="4"/>
    </row>
    <row r="40" spans="1:29" ht="23.1" customHeight="1" x14ac:dyDescent="0.15">
      <c r="A40" s="5" t="s">
        <v>354</v>
      </c>
      <c r="B40" s="5" t="s">
        <v>351</v>
      </c>
      <c r="C40" s="5" t="s">
        <v>118</v>
      </c>
      <c r="D40" s="4" t="s">
        <v>116</v>
      </c>
      <c r="E40" s="4" t="s">
        <v>119</v>
      </c>
      <c r="F40" s="9" t="s">
        <v>90</v>
      </c>
      <c r="G40" s="7">
        <v>18</v>
      </c>
      <c r="H40" s="14"/>
      <c r="I40" s="14"/>
      <c r="J40" s="14"/>
      <c r="K40" s="14"/>
      <c r="L40" s="14"/>
      <c r="M40" s="14"/>
      <c r="N40" s="14"/>
      <c r="O40" s="14"/>
      <c r="P40" s="14"/>
      <c r="Q40" s="4"/>
    </row>
    <row r="41" spans="1:29" ht="23.1" customHeight="1" x14ac:dyDescent="0.15">
      <c r="A41" s="5" t="s">
        <v>272</v>
      </c>
      <c r="B41" s="5" t="s">
        <v>351</v>
      </c>
      <c r="C41" s="5" t="s">
        <v>273</v>
      </c>
      <c r="D41" s="4" t="s">
        <v>121</v>
      </c>
      <c r="E41" s="4" t="s">
        <v>122</v>
      </c>
      <c r="F41" s="9" t="s">
        <v>90</v>
      </c>
      <c r="G41" s="7">
        <v>5</v>
      </c>
      <c r="H41" s="14"/>
      <c r="I41" s="14"/>
      <c r="J41" s="14"/>
      <c r="K41" s="14"/>
      <c r="L41" s="14"/>
      <c r="M41" s="14"/>
      <c r="N41" s="14"/>
      <c r="O41" s="14"/>
      <c r="P41" s="14"/>
      <c r="Q41" s="4"/>
    </row>
    <row r="42" spans="1:29" ht="23.1" customHeight="1" x14ac:dyDescent="0.15">
      <c r="A42" s="5" t="s">
        <v>282</v>
      </c>
      <c r="B42" s="5" t="s">
        <v>351</v>
      </c>
      <c r="C42" s="5" t="s">
        <v>283</v>
      </c>
      <c r="D42" s="4" t="s">
        <v>132</v>
      </c>
      <c r="E42" s="4" t="s">
        <v>133</v>
      </c>
      <c r="F42" s="9" t="s">
        <v>80</v>
      </c>
      <c r="G42" s="7">
        <v>236</v>
      </c>
      <c r="H42" s="14"/>
      <c r="I42" s="14"/>
      <c r="J42" s="14"/>
      <c r="K42" s="14"/>
      <c r="L42" s="14"/>
      <c r="M42" s="14"/>
      <c r="N42" s="14"/>
      <c r="O42" s="14"/>
      <c r="P42" s="14"/>
      <c r="Q42" s="4"/>
    </row>
    <row r="43" spans="1:29" ht="23.1" customHeight="1" x14ac:dyDescent="0.15">
      <c r="A43" s="5" t="s">
        <v>355</v>
      </c>
      <c r="B43" s="5" t="s">
        <v>351</v>
      </c>
      <c r="C43" s="5" t="s">
        <v>134</v>
      </c>
      <c r="D43" s="4" t="s">
        <v>132</v>
      </c>
      <c r="E43" s="4" t="s">
        <v>135</v>
      </c>
      <c r="F43" s="9" t="s">
        <v>80</v>
      </c>
      <c r="G43" s="7">
        <v>92</v>
      </c>
      <c r="H43" s="14"/>
      <c r="I43" s="14"/>
      <c r="J43" s="14"/>
      <c r="K43" s="14"/>
      <c r="L43" s="14"/>
      <c r="M43" s="14"/>
      <c r="N43" s="14"/>
      <c r="O43" s="14"/>
      <c r="P43" s="14"/>
      <c r="Q43" s="4"/>
    </row>
    <row r="44" spans="1:29" ht="23.1" customHeight="1" x14ac:dyDescent="0.15">
      <c r="A44" s="5" t="s">
        <v>356</v>
      </c>
      <c r="B44" s="5" t="s">
        <v>351</v>
      </c>
      <c r="C44" s="5" t="s">
        <v>136</v>
      </c>
      <c r="D44" s="4" t="s">
        <v>132</v>
      </c>
      <c r="E44" s="4" t="s">
        <v>137</v>
      </c>
      <c r="F44" s="9" t="s">
        <v>90</v>
      </c>
      <c r="G44" s="7">
        <v>144</v>
      </c>
      <c r="H44" s="14"/>
      <c r="I44" s="14"/>
      <c r="J44" s="14"/>
      <c r="K44" s="14"/>
      <c r="L44" s="14"/>
      <c r="M44" s="14"/>
      <c r="N44" s="14"/>
      <c r="O44" s="14"/>
      <c r="P44" s="14"/>
      <c r="Q44" s="4"/>
    </row>
    <row r="45" spans="1:29" ht="23.1" customHeight="1" x14ac:dyDescent="0.15">
      <c r="A45" s="5" t="s">
        <v>357</v>
      </c>
      <c r="B45" s="5" t="s">
        <v>351</v>
      </c>
      <c r="C45" s="5" t="s">
        <v>138</v>
      </c>
      <c r="D45" s="4" t="s">
        <v>132</v>
      </c>
      <c r="E45" s="4" t="s">
        <v>139</v>
      </c>
      <c r="F45" s="9" t="s">
        <v>90</v>
      </c>
      <c r="G45" s="7">
        <v>11</v>
      </c>
      <c r="H45" s="14"/>
      <c r="I45" s="14"/>
      <c r="J45" s="14"/>
      <c r="K45" s="14"/>
      <c r="L45" s="14"/>
      <c r="M45" s="14"/>
      <c r="N45" s="14"/>
      <c r="O45" s="14"/>
      <c r="P45" s="14"/>
      <c r="Q45" s="4"/>
    </row>
    <row r="46" spans="1:29" ht="23.1" customHeight="1" x14ac:dyDescent="0.15">
      <c r="A46" s="5" t="s">
        <v>286</v>
      </c>
      <c r="B46" s="5" t="s">
        <v>351</v>
      </c>
      <c r="C46" s="5" t="s">
        <v>287</v>
      </c>
      <c r="D46" s="4" t="s">
        <v>153</v>
      </c>
      <c r="E46" s="4" t="s">
        <v>154</v>
      </c>
      <c r="F46" s="9" t="s">
        <v>80</v>
      </c>
      <c r="G46" s="7">
        <v>8</v>
      </c>
      <c r="H46" s="14"/>
      <c r="I46" s="14"/>
      <c r="J46" s="14"/>
      <c r="K46" s="14"/>
      <c r="L46" s="14"/>
      <c r="M46" s="14"/>
      <c r="N46" s="14"/>
      <c r="O46" s="14"/>
      <c r="P46" s="14"/>
      <c r="Q46" s="4"/>
    </row>
    <row r="47" spans="1:29" ht="23.1" customHeight="1" x14ac:dyDescent="0.15">
      <c r="A47" s="5" t="s">
        <v>290</v>
      </c>
      <c r="B47" s="5" t="s">
        <v>351</v>
      </c>
      <c r="C47" s="5" t="s">
        <v>291</v>
      </c>
      <c r="D47" s="4" t="s">
        <v>164</v>
      </c>
      <c r="E47" s="4" t="s">
        <v>165</v>
      </c>
      <c r="F47" s="9" t="s">
        <v>80</v>
      </c>
      <c r="G47" s="7">
        <v>1211</v>
      </c>
      <c r="H47" s="14"/>
      <c r="I47" s="14"/>
      <c r="J47" s="14"/>
      <c r="K47" s="14"/>
      <c r="L47" s="14"/>
      <c r="M47" s="14"/>
      <c r="N47" s="14"/>
      <c r="O47" s="14"/>
      <c r="P47" s="14"/>
      <c r="Q47" s="4"/>
      <c r="AC47" s="13">
        <f>G47*H47</f>
        <v>0</v>
      </c>
    </row>
    <row r="48" spans="1:29" ht="23.1" customHeight="1" x14ac:dyDescent="0.15">
      <c r="A48" s="5" t="s">
        <v>302</v>
      </c>
      <c r="B48" s="5" t="s">
        <v>351</v>
      </c>
      <c r="C48" s="5" t="s">
        <v>303</v>
      </c>
      <c r="D48" s="4" t="s">
        <v>179</v>
      </c>
      <c r="E48" s="4" t="s">
        <v>180</v>
      </c>
      <c r="F48" s="9" t="s">
        <v>90</v>
      </c>
      <c r="G48" s="7">
        <v>5</v>
      </c>
      <c r="H48" s="14"/>
      <c r="I48" s="14"/>
      <c r="J48" s="14"/>
      <c r="K48" s="14"/>
      <c r="L48" s="14"/>
      <c r="M48" s="14"/>
      <c r="N48" s="14"/>
      <c r="O48" s="14"/>
      <c r="P48" s="14"/>
      <c r="Q48" s="4"/>
    </row>
    <row r="49" spans="1:31" ht="23.1" customHeight="1" x14ac:dyDescent="0.15">
      <c r="A49" s="5" t="s">
        <v>304</v>
      </c>
      <c r="B49" s="5" t="s">
        <v>351</v>
      </c>
      <c r="C49" s="5" t="s">
        <v>305</v>
      </c>
      <c r="D49" s="4" t="s">
        <v>179</v>
      </c>
      <c r="E49" s="4" t="s">
        <v>182</v>
      </c>
      <c r="F49" s="9" t="s">
        <v>90</v>
      </c>
      <c r="G49" s="7">
        <v>2</v>
      </c>
      <c r="H49" s="14"/>
      <c r="I49" s="14"/>
      <c r="J49" s="14"/>
      <c r="K49" s="14"/>
      <c r="L49" s="14"/>
      <c r="M49" s="14"/>
      <c r="N49" s="14"/>
      <c r="O49" s="14"/>
      <c r="P49" s="14"/>
      <c r="Q49" s="4"/>
    </row>
    <row r="50" spans="1:31" ht="23.1" customHeight="1" x14ac:dyDescent="0.15">
      <c r="A50" s="5" t="s">
        <v>306</v>
      </c>
      <c r="B50" s="5" t="s">
        <v>351</v>
      </c>
      <c r="C50" s="5" t="s">
        <v>307</v>
      </c>
      <c r="D50" s="4" t="s">
        <v>179</v>
      </c>
      <c r="E50" s="4" t="s">
        <v>184</v>
      </c>
      <c r="F50" s="9" t="s">
        <v>90</v>
      </c>
      <c r="G50" s="7">
        <v>1</v>
      </c>
      <c r="H50" s="14"/>
      <c r="I50" s="14"/>
      <c r="J50" s="14"/>
      <c r="K50" s="14"/>
      <c r="L50" s="14"/>
      <c r="M50" s="14"/>
      <c r="N50" s="14"/>
      <c r="O50" s="14"/>
      <c r="P50" s="14"/>
      <c r="Q50" s="4"/>
    </row>
    <row r="51" spans="1:31" ht="23.1" customHeight="1" x14ac:dyDescent="0.15">
      <c r="A51" s="5" t="s">
        <v>308</v>
      </c>
      <c r="B51" s="5" t="s">
        <v>351</v>
      </c>
      <c r="C51" s="5" t="s">
        <v>309</v>
      </c>
      <c r="D51" s="4" t="s">
        <v>179</v>
      </c>
      <c r="E51" s="4" t="s">
        <v>186</v>
      </c>
      <c r="F51" s="9" t="s">
        <v>90</v>
      </c>
      <c r="G51" s="7">
        <v>1</v>
      </c>
      <c r="H51" s="14"/>
      <c r="I51" s="14"/>
      <c r="J51" s="14"/>
      <c r="K51" s="14"/>
      <c r="L51" s="14"/>
      <c r="M51" s="14"/>
      <c r="N51" s="14"/>
      <c r="O51" s="14"/>
      <c r="P51" s="14"/>
      <c r="Q51" s="4"/>
    </row>
    <row r="52" spans="1:31" ht="23.1" customHeight="1" x14ac:dyDescent="0.15">
      <c r="A52" s="5" t="s">
        <v>243</v>
      </c>
      <c r="B52" s="5" t="s">
        <v>351</v>
      </c>
      <c r="C52" s="5" t="s">
        <v>244</v>
      </c>
      <c r="D52" s="4" t="s">
        <v>245</v>
      </c>
      <c r="E52" s="4" t="s">
        <v>246</v>
      </c>
      <c r="F52" s="9" t="s">
        <v>242</v>
      </c>
      <c r="G52" s="7">
        <v>52</v>
      </c>
      <c r="H52" s="14"/>
      <c r="I52" s="14"/>
      <c r="J52" s="14"/>
      <c r="K52" s="14"/>
      <c r="L52" s="14"/>
      <c r="M52" s="14"/>
      <c r="N52" s="14"/>
      <c r="O52" s="14"/>
      <c r="P52" s="14"/>
      <c r="Q52" s="4"/>
    </row>
    <row r="53" spans="1:31" ht="23.1" customHeight="1" x14ac:dyDescent="0.15">
      <c r="A53" s="5" t="s">
        <v>336</v>
      </c>
      <c r="B53" s="5" t="s">
        <v>351</v>
      </c>
      <c r="C53" s="5" t="s">
        <v>337</v>
      </c>
      <c r="D53" s="4" t="s">
        <v>222</v>
      </c>
      <c r="E53" s="4" t="s">
        <v>223</v>
      </c>
      <c r="F53" s="9" t="s">
        <v>197</v>
      </c>
      <c r="G53" s="7">
        <v>52</v>
      </c>
      <c r="H53" s="14"/>
      <c r="I53" s="14"/>
      <c r="J53" s="14"/>
      <c r="K53" s="14"/>
      <c r="L53" s="14"/>
      <c r="M53" s="14"/>
      <c r="N53" s="14"/>
      <c r="O53" s="14"/>
      <c r="P53" s="14"/>
      <c r="Q53" s="4"/>
    </row>
    <row r="54" spans="1:31" ht="23.1" customHeight="1" x14ac:dyDescent="0.15">
      <c r="A54" s="5" t="s">
        <v>338</v>
      </c>
      <c r="B54" s="5" t="s">
        <v>351</v>
      </c>
      <c r="C54" s="5" t="s">
        <v>339</v>
      </c>
      <c r="D54" s="4" t="s">
        <v>225</v>
      </c>
      <c r="E54" s="4" t="s">
        <v>226</v>
      </c>
      <c r="F54" s="9" t="s">
        <v>197</v>
      </c>
      <c r="G54" s="7">
        <v>72</v>
      </c>
      <c r="H54" s="14"/>
      <c r="I54" s="14"/>
      <c r="J54" s="14"/>
      <c r="K54" s="14"/>
      <c r="L54" s="14"/>
      <c r="M54" s="14"/>
      <c r="N54" s="14"/>
      <c r="O54" s="14"/>
      <c r="P54" s="14"/>
      <c r="Q54" s="4"/>
    </row>
    <row r="55" spans="1:31" ht="23.1" customHeight="1" x14ac:dyDescent="0.15">
      <c r="A55" s="5" t="s">
        <v>322</v>
      </c>
      <c r="B55" s="5" t="s">
        <v>351</v>
      </c>
      <c r="C55" s="5" t="s">
        <v>323</v>
      </c>
      <c r="D55" s="4" t="s">
        <v>207</v>
      </c>
      <c r="E55" s="4" t="s">
        <v>208</v>
      </c>
      <c r="F55" s="9" t="s">
        <v>197</v>
      </c>
      <c r="G55" s="7">
        <v>13</v>
      </c>
      <c r="H55" s="14"/>
      <c r="I55" s="14"/>
      <c r="J55" s="14"/>
      <c r="K55" s="14"/>
      <c r="L55" s="14"/>
      <c r="M55" s="14"/>
      <c r="N55" s="14"/>
      <c r="O55" s="14"/>
      <c r="P55" s="14"/>
      <c r="Q55" s="4"/>
    </row>
    <row r="56" spans="1:31" ht="23.1" customHeight="1" x14ac:dyDescent="0.15">
      <c r="A56" s="5" t="s">
        <v>340</v>
      </c>
      <c r="B56" s="5" t="s">
        <v>351</v>
      </c>
      <c r="C56" s="5" t="s">
        <v>341</v>
      </c>
      <c r="D56" s="4" t="s">
        <v>228</v>
      </c>
      <c r="E56" s="4" t="s">
        <v>229</v>
      </c>
      <c r="F56" s="9" t="s">
        <v>197</v>
      </c>
      <c r="G56" s="7">
        <v>8</v>
      </c>
      <c r="H56" s="14"/>
      <c r="I56" s="14"/>
      <c r="J56" s="14"/>
      <c r="K56" s="14"/>
      <c r="L56" s="14"/>
      <c r="M56" s="14"/>
      <c r="N56" s="14"/>
      <c r="O56" s="14"/>
      <c r="P56" s="14"/>
      <c r="Q56" s="4"/>
    </row>
    <row r="57" spans="1:31" ht="23.1" customHeight="1" x14ac:dyDescent="0.15">
      <c r="D57" s="4"/>
      <c r="E57" s="4"/>
      <c r="F57" s="9"/>
      <c r="G57" s="7"/>
      <c r="H57" s="14"/>
      <c r="I57" s="14"/>
      <c r="J57" s="14"/>
      <c r="K57" s="14"/>
      <c r="L57" s="14"/>
      <c r="M57" s="14"/>
      <c r="N57" s="14"/>
      <c r="O57" s="14"/>
      <c r="P57" s="14"/>
      <c r="Q57" s="4"/>
      <c r="AE57" s="13">
        <f>TRUNC(SUM(AE30:AE56))</f>
        <v>0</v>
      </c>
    </row>
    <row r="58" spans="1:31" ht="23.1" customHeight="1" x14ac:dyDescent="0.15">
      <c r="D58" s="4"/>
      <c r="E58" s="4"/>
      <c r="F58" s="9"/>
      <c r="G58" s="7"/>
      <c r="H58" s="14"/>
      <c r="I58" s="14"/>
      <c r="J58" s="14"/>
      <c r="K58" s="14"/>
      <c r="L58" s="14"/>
      <c r="M58" s="14"/>
      <c r="N58" s="14"/>
      <c r="O58" s="14"/>
      <c r="P58" s="14"/>
      <c r="Q58" s="4"/>
    </row>
    <row r="59" spans="1:31" ht="23.1" customHeight="1" x14ac:dyDescent="0.15">
      <c r="D59" s="4"/>
      <c r="E59" s="4"/>
      <c r="F59" s="9"/>
      <c r="G59" s="7"/>
      <c r="H59" s="14"/>
      <c r="I59" s="14"/>
      <c r="J59" s="14"/>
      <c r="K59" s="14"/>
      <c r="L59" s="14"/>
      <c r="M59" s="14"/>
      <c r="N59" s="14"/>
      <c r="O59" s="14"/>
      <c r="P59" s="14"/>
      <c r="Q59" s="4"/>
    </row>
    <row r="60" spans="1:31" ht="23.1" customHeight="1" x14ac:dyDescent="0.15">
      <c r="D60" s="4"/>
      <c r="E60" s="4"/>
      <c r="F60" s="9"/>
      <c r="G60" s="7"/>
      <c r="H60" s="14"/>
      <c r="I60" s="14"/>
      <c r="J60" s="14"/>
      <c r="K60" s="14"/>
      <c r="L60" s="14"/>
      <c r="M60" s="14"/>
      <c r="N60" s="14"/>
      <c r="O60" s="14"/>
      <c r="P60" s="14"/>
      <c r="Q60" s="4"/>
    </row>
    <row r="61" spans="1:31" ht="23.1" customHeight="1" x14ac:dyDescent="0.15">
      <c r="D61" s="4"/>
      <c r="E61" s="4"/>
      <c r="F61" s="9"/>
      <c r="G61" s="7"/>
      <c r="H61" s="14"/>
      <c r="I61" s="14"/>
      <c r="J61" s="14"/>
      <c r="K61" s="14"/>
      <c r="L61" s="14"/>
      <c r="M61" s="14"/>
      <c r="N61" s="14"/>
      <c r="O61" s="14"/>
      <c r="P61" s="14"/>
      <c r="Q61" s="4"/>
    </row>
    <row r="62" spans="1:31" ht="23.1" customHeight="1" x14ac:dyDescent="0.15">
      <c r="D62" s="4"/>
      <c r="E62" s="4"/>
      <c r="F62" s="9"/>
      <c r="G62" s="7"/>
      <c r="H62" s="14"/>
      <c r="I62" s="14"/>
      <c r="J62" s="14"/>
      <c r="K62" s="14"/>
      <c r="L62" s="14"/>
      <c r="M62" s="14"/>
      <c r="N62" s="14"/>
      <c r="O62" s="14"/>
      <c r="P62" s="14"/>
      <c r="Q62" s="4"/>
    </row>
    <row r="63" spans="1:31" ht="23.1" customHeight="1" x14ac:dyDescent="0.15">
      <c r="D63" s="4"/>
      <c r="E63" s="4"/>
      <c r="F63" s="9"/>
      <c r="G63" s="7"/>
      <c r="H63" s="14"/>
      <c r="I63" s="14"/>
      <c r="J63" s="14"/>
      <c r="K63" s="14"/>
      <c r="L63" s="14"/>
      <c r="M63" s="14"/>
      <c r="N63" s="14"/>
      <c r="O63" s="14"/>
      <c r="P63" s="14"/>
      <c r="Q63" s="4"/>
    </row>
    <row r="64" spans="1:31" ht="23.1" customHeight="1" x14ac:dyDescent="0.15">
      <c r="D64" s="4"/>
      <c r="E64" s="4"/>
      <c r="F64" s="9"/>
      <c r="G64" s="7"/>
      <c r="H64" s="14"/>
      <c r="I64" s="14"/>
      <c r="J64" s="14"/>
      <c r="K64" s="14"/>
      <c r="L64" s="14"/>
      <c r="M64" s="14"/>
      <c r="N64" s="14"/>
      <c r="O64" s="14"/>
      <c r="P64" s="14"/>
      <c r="Q64" s="4"/>
    </row>
    <row r="65" spans="4:17" ht="23.1" customHeight="1" x14ac:dyDescent="0.15">
      <c r="D65" s="4"/>
      <c r="E65" s="4"/>
      <c r="F65" s="9"/>
      <c r="G65" s="7"/>
      <c r="H65" s="14"/>
      <c r="I65" s="14"/>
      <c r="J65" s="14"/>
      <c r="K65" s="14"/>
      <c r="L65" s="14"/>
      <c r="M65" s="14"/>
      <c r="N65" s="14"/>
      <c r="O65" s="14"/>
      <c r="P65" s="14"/>
      <c r="Q65" s="4"/>
    </row>
    <row r="66" spans="4:17" ht="23.1" customHeight="1" x14ac:dyDescent="0.15">
      <c r="D66" s="4"/>
      <c r="E66" s="4"/>
      <c r="F66" s="9"/>
      <c r="G66" s="7"/>
      <c r="H66" s="14"/>
      <c r="I66" s="14"/>
      <c r="J66" s="14"/>
      <c r="K66" s="14"/>
      <c r="L66" s="14"/>
      <c r="M66" s="14"/>
      <c r="N66" s="14"/>
      <c r="O66" s="14"/>
      <c r="P66" s="14"/>
      <c r="Q66" s="4"/>
    </row>
    <row r="67" spans="4:17" ht="23.1" customHeight="1" x14ac:dyDescent="0.15">
      <c r="D67" s="4"/>
      <c r="E67" s="4"/>
      <c r="F67" s="9"/>
      <c r="G67" s="7"/>
      <c r="H67" s="14"/>
      <c r="I67" s="14"/>
      <c r="J67" s="14"/>
      <c r="K67" s="14"/>
      <c r="L67" s="14"/>
      <c r="M67" s="14"/>
      <c r="N67" s="14"/>
      <c r="O67" s="14"/>
      <c r="P67" s="14"/>
      <c r="Q67" s="4"/>
    </row>
    <row r="68" spans="4:17" ht="23.1" customHeight="1" x14ac:dyDescent="0.15">
      <c r="D68" s="4"/>
      <c r="E68" s="4"/>
      <c r="F68" s="9"/>
      <c r="G68" s="7"/>
      <c r="H68" s="14"/>
      <c r="I68" s="14"/>
      <c r="J68" s="14"/>
      <c r="K68" s="14"/>
      <c r="L68" s="14"/>
      <c r="M68" s="14"/>
      <c r="N68" s="14"/>
      <c r="O68" s="14"/>
      <c r="P68" s="14"/>
      <c r="Q68" s="4"/>
    </row>
    <row r="69" spans="4:17" ht="23.1" customHeight="1" x14ac:dyDescent="0.15">
      <c r="D69" s="4"/>
      <c r="E69" s="4"/>
      <c r="F69" s="9"/>
      <c r="G69" s="7"/>
      <c r="H69" s="14"/>
      <c r="I69" s="14"/>
      <c r="J69" s="14"/>
      <c r="K69" s="14"/>
      <c r="L69" s="14"/>
      <c r="M69" s="14"/>
      <c r="N69" s="14"/>
      <c r="O69" s="14"/>
      <c r="P69" s="14"/>
      <c r="Q69" s="4"/>
    </row>
    <row r="70" spans="4:17" ht="23.1" customHeight="1" x14ac:dyDescent="0.15">
      <c r="D70" s="4"/>
      <c r="E70" s="4"/>
      <c r="F70" s="9"/>
      <c r="G70" s="7"/>
      <c r="H70" s="14"/>
      <c r="I70" s="14"/>
      <c r="J70" s="14"/>
      <c r="K70" s="14"/>
      <c r="L70" s="14"/>
      <c r="M70" s="14"/>
      <c r="N70" s="14"/>
      <c r="O70" s="14"/>
      <c r="P70" s="14"/>
      <c r="Q70" s="4"/>
    </row>
    <row r="71" spans="4:17" ht="23.1" customHeight="1" x14ac:dyDescent="0.15">
      <c r="D71" s="4"/>
      <c r="E71" s="4"/>
      <c r="F71" s="9"/>
      <c r="G71" s="7"/>
      <c r="H71" s="14"/>
      <c r="I71" s="14"/>
      <c r="J71" s="14"/>
      <c r="K71" s="14"/>
      <c r="L71" s="14"/>
      <c r="M71" s="14"/>
      <c r="N71" s="14"/>
      <c r="O71" s="14"/>
      <c r="P71" s="14"/>
      <c r="Q71" s="4"/>
    </row>
    <row r="72" spans="4:17" ht="23.1" customHeight="1" x14ac:dyDescent="0.15">
      <c r="D72" s="4"/>
      <c r="E72" s="4"/>
      <c r="F72" s="9"/>
      <c r="G72" s="7"/>
      <c r="H72" s="14"/>
      <c r="I72" s="14"/>
      <c r="J72" s="14"/>
      <c r="K72" s="14"/>
      <c r="L72" s="14"/>
      <c r="M72" s="14"/>
      <c r="N72" s="14"/>
      <c r="O72" s="14"/>
      <c r="P72" s="14"/>
      <c r="Q72" s="4"/>
    </row>
    <row r="73" spans="4:17" ht="23.1" customHeight="1" x14ac:dyDescent="0.15">
      <c r="D73" s="4"/>
      <c r="E73" s="4"/>
      <c r="F73" s="9"/>
      <c r="G73" s="7"/>
      <c r="H73" s="14"/>
      <c r="I73" s="14"/>
      <c r="J73" s="14"/>
      <c r="K73" s="14"/>
      <c r="L73" s="14"/>
      <c r="M73" s="14"/>
      <c r="N73" s="14"/>
      <c r="O73" s="14"/>
      <c r="P73" s="14"/>
      <c r="Q73" s="4"/>
    </row>
    <row r="74" spans="4:17" ht="23.1" customHeight="1" x14ac:dyDescent="0.15">
      <c r="D74" s="4"/>
      <c r="E74" s="4"/>
      <c r="F74" s="9"/>
      <c r="G74" s="7"/>
      <c r="H74" s="14"/>
      <c r="I74" s="14"/>
      <c r="J74" s="14"/>
      <c r="K74" s="14"/>
      <c r="L74" s="14"/>
      <c r="M74" s="14"/>
      <c r="N74" s="14"/>
      <c r="O74" s="14"/>
      <c r="P74" s="14"/>
      <c r="Q74" s="4"/>
    </row>
    <row r="75" spans="4:17" ht="23.1" customHeight="1" x14ac:dyDescent="0.15">
      <c r="D75" s="4"/>
      <c r="E75" s="4"/>
      <c r="F75" s="9"/>
      <c r="G75" s="7"/>
      <c r="H75" s="14"/>
      <c r="I75" s="14"/>
      <c r="J75" s="14"/>
      <c r="K75" s="14"/>
      <c r="L75" s="14"/>
      <c r="M75" s="14"/>
      <c r="N75" s="14"/>
      <c r="O75" s="14"/>
      <c r="P75" s="14"/>
      <c r="Q75" s="4"/>
    </row>
    <row r="76" spans="4:17" ht="23.1" customHeight="1" x14ac:dyDescent="0.15">
      <c r="D76" s="4"/>
      <c r="E76" s="4"/>
      <c r="F76" s="9"/>
      <c r="G76" s="7"/>
      <c r="H76" s="14"/>
      <c r="I76" s="14"/>
      <c r="J76" s="14"/>
      <c r="K76" s="14"/>
      <c r="L76" s="14"/>
      <c r="M76" s="14"/>
      <c r="N76" s="14"/>
      <c r="O76" s="14"/>
      <c r="P76" s="14"/>
      <c r="Q76" s="4"/>
    </row>
    <row r="77" spans="4:17" ht="23.1" customHeight="1" x14ac:dyDescent="0.15">
      <c r="D77" s="4"/>
      <c r="E77" s="4"/>
      <c r="F77" s="9"/>
      <c r="G77" s="7"/>
      <c r="H77" s="14"/>
      <c r="I77" s="14"/>
      <c r="J77" s="14"/>
      <c r="K77" s="14"/>
      <c r="L77" s="14"/>
      <c r="M77" s="14"/>
      <c r="N77" s="14"/>
      <c r="O77" s="14"/>
      <c r="P77" s="14"/>
      <c r="Q77" s="4"/>
    </row>
    <row r="78" spans="4:17" ht="23.1" customHeight="1" x14ac:dyDescent="0.15">
      <c r="D78" s="4"/>
      <c r="E78" s="4"/>
      <c r="F78" s="9"/>
      <c r="G78" s="7"/>
      <c r="H78" s="14"/>
      <c r="I78" s="14"/>
      <c r="J78" s="14"/>
      <c r="K78" s="14"/>
      <c r="L78" s="14"/>
      <c r="M78" s="14"/>
      <c r="N78" s="14"/>
      <c r="O78" s="14"/>
      <c r="P78" s="14"/>
      <c r="Q78" s="4"/>
    </row>
    <row r="79" spans="4:17" ht="23.1" customHeight="1" x14ac:dyDescent="0.15">
      <c r="D79" s="4"/>
      <c r="E79" s="4"/>
      <c r="F79" s="9"/>
      <c r="G79" s="7"/>
      <c r="H79" s="14"/>
      <c r="I79" s="14">
        <f t="shared" ref="I63:I80" si="4">TRUNC(G79*H79)</f>
        <v>0</v>
      </c>
      <c r="J79" s="14"/>
      <c r="K79" s="14"/>
      <c r="L79" s="14">
        <f t="shared" ref="L63:L80" si="5">TRUNC(G79*K79)</f>
        <v>0</v>
      </c>
      <c r="M79" s="14"/>
      <c r="N79" s="14">
        <f t="shared" ref="N63:N80" si="6">TRUNC(G79*M79)</f>
        <v>0</v>
      </c>
      <c r="O79" s="14"/>
      <c r="P79" s="14">
        <f t="shared" ref="P63:P80" si="7">SUM(I79,L79,N79)</f>
        <v>0</v>
      </c>
      <c r="Q79" s="4"/>
    </row>
    <row r="80" spans="4:17" ht="23.1" customHeight="1" x14ac:dyDescent="0.15">
      <c r="D80" s="4"/>
      <c r="E80" s="4"/>
      <c r="F80" s="9"/>
      <c r="G80" s="7"/>
      <c r="H80" s="14"/>
      <c r="I80" s="14">
        <f t="shared" si="4"/>
        <v>0</v>
      </c>
      <c r="J80" s="14"/>
      <c r="K80" s="14"/>
      <c r="L80" s="14">
        <f t="shared" si="5"/>
        <v>0</v>
      </c>
      <c r="M80" s="14"/>
      <c r="N80" s="14">
        <f t="shared" si="6"/>
        <v>0</v>
      </c>
      <c r="O80" s="14"/>
      <c r="P80" s="14">
        <f t="shared" si="7"/>
        <v>0</v>
      </c>
      <c r="Q80" s="4"/>
    </row>
    <row r="81" spans="1:29" ht="23.1" customHeight="1" x14ac:dyDescent="0.15">
      <c r="B81" s="5" t="s">
        <v>342</v>
      </c>
      <c r="D81" s="4" t="s">
        <v>343</v>
      </c>
      <c r="E81" s="4"/>
      <c r="F81" s="9"/>
      <c r="G81" s="7"/>
      <c r="H81" s="14"/>
      <c r="I81" s="14">
        <f>TRUNC(SUM(I30:I80))</f>
        <v>0</v>
      </c>
      <c r="J81" s="14"/>
      <c r="K81" s="14"/>
      <c r="L81" s="14">
        <f>TRUNC(SUM(L30:L80))</f>
        <v>0</v>
      </c>
      <c r="M81" s="14"/>
      <c r="N81" s="14">
        <f>TRUNC(SUM(N30:N80))</f>
        <v>0</v>
      </c>
      <c r="O81" s="14"/>
      <c r="P81" s="14">
        <f>TRUNC(SUM(P30:P80))</f>
        <v>0</v>
      </c>
      <c r="Q81" s="4"/>
    </row>
    <row r="82" spans="1:29" ht="23.1" customHeight="1" x14ac:dyDescent="0.15">
      <c r="B82" s="5" t="s">
        <v>240</v>
      </c>
      <c r="D82" s="165" t="s">
        <v>358</v>
      </c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7"/>
    </row>
    <row r="83" spans="1:29" ht="23.1" customHeight="1" x14ac:dyDescent="0.15">
      <c r="A83" s="5" t="s">
        <v>250</v>
      </c>
      <c r="B83" s="5" t="s">
        <v>359</v>
      </c>
      <c r="C83" s="5" t="s">
        <v>251</v>
      </c>
      <c r="D83" s="4" t="s">
        <v>78</v>
      </c>
      <c r="E83" s="4" t="s">
        <v>79</v>
      </c>
      <c r="F83" s="9" t="s">
        <v>80</v>
      </c>
      <c r="G83" s="7">
        <v>211</v>
      </c>
      <c r="H83" s="14"/>
      <c r="I83" s="14"/>
      <c r="J83" s="14"/>
      <c r="K83" s="14"/>
      <c r="L83" s="14"/>
      <c r="M83" s="14"/>
      <c r="N83" s="14"/>
      <c r="O83" s="14"/>
      <c r="P83" s="14"/>
      <c r="Q83" s="4"/>
      <c r="AA83" s="13">
        <f>G83*H83</f>
        <v>0</v>
      </c>
      <c r="AC83" s="13">
        <f>G83*H83</f>
        <v>0</v>
      </c>
    </row>
    <row r="84" spans="1:29" ht="23.1" customHeight="1" x14ac:dyDescent="0.15">
      <c r="A84" s="5" t="s">
        <v>252</v>
      </c>
      <c r="B84" s="5" t="s">
        <v>359</v>
      </c>
      <c r="C84" s="5" t="s">
        <v>253</v>
      </c>
      <c r="D84" s="4" t="s">
        <v>78</v>
      </c>
      <c r="E84" s="4" t="s">
        <v>82</v>
      </c>
      <c r="F84" s="9" t="s">
        <v>80</v>
      </c>
      <c r="G84" s="7">
        <v>95</v>
      </c>
      <c r="H84" s="14"/>
      <c r="I84" s="14"/>
      <c r="J84" s="14"/>
      <c r="K84" s="14"/>
      <c r="L84" s="14"/>
      <c r="M84" s="14"/>
      <c r="N84" s="14"/>
      <c r="O84" s="14"/>
      <c r="P84" s="14"/>
      <c r="Q84" s="4"/>
      <c r="AA84" s="13">
        <f>G84*H84</f>
        <v>0</v>
      </c>
      <c r="AC84" s="13">
        <f>G84*H84</f>
        <v>0</v>
      </c>
    </row>
    <row r="85" spans="1:29" ht="23.1" customHeight="1" x14ac:dyDescent="0.15">
      <c r="A85" s="5" t="s">
        <v>352</v>
      </c>
      <c r="B85" s="5" t="s">
        <v>359</v>
      </c>
      <c r="C85" s="5" t="s">
        <v>88</v>
      </c>
      <c r="D85" s="4" t="s">
        <v>86</v>
      </c>
      <c r="E85" s="4" t="s">
        <v>89</v>
      </c>
      <c r="F85" s="9" t="s">
        <v>90</v>
      </c>
      <c r="G85" s="7">
        <v>10</v>
      </c>
      <c r="H85" s="14"/>
      <c r="I85" s="14"/>
      <c r="J85" s="14"/>
      <c r="K85" s="14"/>
      <c r="L85" s="14"/>
      <c r="M85" s="14"/>
      <c r="N85" s="14"/>
      <c r="O85" s="14"/>
      <c r="P85" s="14"/>
      <c r="Q85" s="4"/>
    </row>
    <row r="86" spans="1:29" ht="23.1" customHeight="1" x14ac:dyDescent="0.15">
      <c r="A86" s="5" t="s">
        <v>360</v>
      </c>
      <c r="B86" s="5" t="s">
        <v>359</v>
      </c>
      <c r="C86" s="5" t="s">
        <v>93</v>
      </c>
      <c r="D86" s="4" t="s">
        <v>86</v>
      </c>
      <c r="E86" s="4" t="s">
        <v>94</v>
      </c>
      <c r="F86" s="9" t="s">
        <v>90</v>
      </c>
      <c r="G86" s="7">
        <v>4</v>
      </c>
      <c r="H86" s="14"/>
      <c r="I86" s="14"/>
      <c r="J86" s="14"/>
      <c r="K86" s="14"/>
      <c r="L86" s="14"/>
      <c r="M86" s="14"/>
      <c r="N86" s="14"/>
      <c r="O86" s="14"/>
      <c r="P86" s="14"/>
      <c r="Q86" s="4"/>
    </row>
    <row r="87" spans="1:29" ht="23.1" customHeight="1" x14ac:dyDescent="0.15">
      <c r="A87" s="5" t="s">
        <v>258</v>
      </c>
      <c r="B87" s="5" t="s">
        <v>359</v>
      </c>
      <c r="C87" s="5" t="s">
        <v>259</v>
      </c>
      <c r="D87" s="4" t="s">
        <v>86</v>
      </c>
      <c r="E87" s="4" t="s">
        <v>100</v>
      </c>
      <c r="F87" s="9" t="s">
        <v>80</v>
      </c>
      <c r="G87" s="7">
        <v>216</v>
      </c>
      <c r="H87" s="14"/>
      <c r="I87" s="14"/>
      <c r="J87" s="14"/>
      <c r="K87" s="14"/>
      <c r="L87" s="14"/>
      <c r="M87" s="14"/>
      <c r="N87" s="14"/>
      <c r="O87" s="14"/>
      <c r="P87" s="14"/>
      <c r="Q87" s="4"/>
      <c r="AC87" s="13">
        <f>G87*H87</f>
        <v>0</v>
      </c>
    </row>
    <row r="88" spans="1:29" ht="23.1" customHeight="1" x14ac:dyDescent="0.15">
      <c r="A88" s="5" t="s">
        <v>262</v>
      </c>
      <c r="B88" s="5" t="s">
        <v>359</v>
      </c>
      <c r="C88" s="5" t="s">
        <v>263</v>
      </c>
      <c r="D88" s="4" t="s">
        <v>86</v>
      </c>
      <c r="E88" s="4" t="s">
        <v>104</v>
      </c>
      <c r="F88" s="9" t="s">
        <v>80</v>
      </c>
      <c r="G88" s="7">
        <v>24</v>
      </c>
      <c r="H88" s="14"/>
      <c r="I88" s="14"/>
      <c r="J88" s="14"/>
      <c r="K88" s="14"/>
      <c r="L88" s="14"/>
      <c r="M88" s="14"/>
      <c r="N88" s="14"/>
      <c r="O88" s="14"/>
      <c r="P88" s="14"/>
      <c r="Q88" s="4"/>
      <c r="AC88" s="13">
        <f>G88*H88</f>
        <v>0</v>
      </c>
    </row>
    <row r="89" spans="1:29" ht="23.1" customHeight="1" x14ac:dyDescent="0.15">
      <c r="A89" s="5" t="s">
        <v>266</v>
      </c>
      <c r="B89" s="5" t="s">
        <v>359</v>
      </c>
      <c r="C89" s="5" t="s">
        <v>267</v>
      </c>
      <c r="D89" s="4" t="s">
        <v>108</v>
      </c>
      <c r="E89" s="4" t="s">
        <v>109</v>
      </c>
      <c r="F89" s="9" t="s">
        <v>90</v>
      </c>
      <c r="G89" s="7">
        <v>46</v>
      </c>
      <c r="H89" s="14"/>
      <c r="I89" s="14"/>
      <c r="J89" s="14"/>
      <c r="K89" s="14"/>
      <c r="L89" s="14"/>
      <c r="M89" s="14"/>
      <c r="N89" s="14"/>
      <c r="O89" s="14"/>
      <c r="P89" s="14"/>
      <c r="Q89" s="4"/>
    </row>
    <row r="90" spans="1:29" ht="23.1" customHeight="1" x14ac:dyDescent="0.15">
      <c r="A90" s="5" t="s">
        <v>268</v>
      </c>
      <c r="B90" s="5" t="s">
        <v>359</v>
      </c>
      <c r="C90" s="5" t="s">
        <v>269</v>
      </c>
      <c r="D90" s="4" t="s">
        <v>111</v>
      </c>
      <c r="E90" s="4" t="s">
        <v>112</v>
      </c>
      <c r="F90" s="9" t="s">
        <v>90</v>
      </c>
      <c r="G90" s="7">
        <v>62</v>
      </c>
      <c r="H90" s="14"/>
      <c r="I90" s="14"/>
      <c r="J90" s="14"/>
      <c r="K90" s="14"/>
      <c r="L90" s="14"/>
      <c r="M90" s="14"/>
      <c r="N90" s="14"/>
      <c r="O90" s="14"/>
      <c r="P90" s="14"/>
      <c r="Q90" s="4"/>
    </row>
    <row r="91" spans="1:29" ht="23.1" customHeight="1" x14ac:dyDescent="0.15">
      <c r="A91" s="5" t="s">
        <v>361</v>
      </c>
      <c r="B91" s="5" t="s">
        <v>359</v>
      </c>
      <c r="C91" s="5" t="s">
        <v>115</v>
      </c>
      <c r="D91" s="4" t="s">
        <v>116</v>
      </c>
      <c r="E91" s="4" t="s">
        <v>117</v>
      </c>
      <c r="F91" s="9" t="s">
        <v>90</v>
      </c>
      <c r="G91" s="7">
        <v>7</v>
      </c>
      <c r="H91" s="14"/>
      <c r="I91" s="14"/>
      <c r="J91" s="14"/>
      <c r="K91" s="14"/>
      <c r="L91" s="14"/>
      <c r="M91" s="14"/>
      <c r="N91" s="14"/>
      <c r="O91" s="14"/>
      <c r="P91" s="14"/>
      <c r="Q91" s="4"/>
    </row>
    <row r="92" spans="1:29" ht="23.1" customHeight="1" x14ac:dyDescent="0.15">
      <c r="A92" s="5" t="s">
        <v>354</v>
      </c>
      <c r="B92" s="5" t="s">
        <v>359</v>
      </c>
      <c r="C92" s="5" t="s">
        <v>118</v>
      </c>
      <c r="D92" s="4" t="s">
        <v>116</v>
      </c>
      <c r="E92" s="4" t="s">
        <v>119</v>
      </c>
      <c r="F92" s="9" t="s">
        <v>90</v>
      </c>
      <c r="G92" s="7">
        <v>39</v>
      </c>
      <c r="H92" s="14"/>
      <c r="I92" s="14"/>
      <c r="J92" s="14"/>
      <c r="K92" s="14"/>
      <c r="L92" s="14"/>
      <c r="M92" s="14"/>
      <c r="N92" s="14"/>
      <c r="O92" s="14"/>
      <c r="P92" s="14"/>
      <c r="Q92" s="4"/>
    </row>
    <row r="93" spans="1:29" ht="23.1" customHeight="1" x14ac:dyDescent="0.15">
      <c r="A93" s="5" t="s">
        <v>272</v>
      </c>
      <c r="B93" s="5" t="s">
        <v>359</v>
      </c>
      <c r="C93" s="5" t="s">
        <v>273</v>
      </c>
      <c r="D93" s="4" t="s">
        <v>121</v>
      </c>
      <c r="E93" s="4" t="s">
        <v>122</v>
      </c>
      <c r="F93" s="9" t="s">
        <v>90</v>
      </c>
      <c r="G93" s="7">
        <v>4</v>
      </c>
      <c r="H93" s="14"/>
      <c r="I93" s="14"/>
      <c r="J93" s="14"/>
      <c r="K93" s="14"/>
      <c r="L93" s="14"/>
      <c r="M93" s="14"/>
      <c r="N93" s="14"/>
      <c r="O93" s="14"/>
      <c r="P93" s="14"/>
      <c r="Q93" s="4"/>
    </row>
    <row r="94" spans="1:29" ht="23.1" customHeight="1" x14ac:dyDescent="0.15">
      <c r="A94" s="5" t="s">
        <v>274</v>
      </c>
      <c r="B94" s="5" t="s">
        <v>359</v>
      </c>
      <c r="C94" s="5" t="s">
        <v>275</v>
      </c>
      <c r="D94" s="4" t="s">
        <v>121</v>
      </c>
      <c r="E94" s="4" t="s">
        <v>124</v>
      </c>
      <c r="F94" s="9" t="s">
        <v>90</v>
      </c>
      <c r="G94" s="7">
        <v>4</v>
      </c>
      <c r="H94" s="14"/>
      <c r="I94" s="14"/>
      <c r="J94" s="14"/>
      <c r="K94" s="14"/>
      <c r="L94" s="14"/>
      <c r="M94" s="14"/>
      <c r="N94" s="14"/>
      <c r="O94" s="14"/>
      <c r="P94" s="14"/>
      <c r="Q94" s="4"/>
    </row>
    <row r="95" spans="1:29" ht="23.1" customHeight="1" x14ac:dyDescent="0.15">
      <c r="A95" s="5" t="s">
        <v>276</v>
      </c>
      <c r="B95" s="5" t="s">
        <v>359</v>
      </c>
      <c r="C95" s="5" t="s">
        <v>277</v>
      </c>
      <c r="D95" s="4" t="s">
        <v>121</v>
      </c>
      <c r="E95" s="4" t="s">
        <v>126</v>
      </c>
      <c r="F95" s="9" t="s">
        <v>90</v>
      </c>
      <c r="G95" s="7">
        <v>8</v>
      </c>
      <c r="H95" s="14"/>
      <c r="I95" s="14"/>
      <c r="J95" s="14"/>
      <c r="K95" s="14"/>
      <c r="L95" s="14"/>
      <c r="M95" s="14"/>
      <c r="N95" s="14"/>
      <c r="O95" s="14"/>
      <c r="P95" s="14"/>
      <c r="Q95" s="4"/>
    </row>
    <row r="96" spans="1:29" ht="23.1" customHeight="1" x14ac:dyDescent="0.15">
      <c r="A96" s="5" t="s">
        <v>288</v>
      </c>
      <c r="B96" s="5" t="s">
        <v>359</v>
      </c>
      <c r="C96" s="5" t="s">
        <v>289</v>
      </c>
      <c r="D96" s="4" t="s">
        <v>153</v>
      </c>
      <c r="E96" s="4" t="s">
        <v>156</v>
      </c>
      <c r="F96" s="9" t="s">
        <v>80</v>
      </c>
      <c r="G96" s="7">
        <v>2</v>
      </c>
      <c r="H96" s="14"/>
      <c r="I96" s="14"/>
      <c r="J96" s="14"/>
      <c r="K96" s="14"/>
      <c r="L96" s="14"/>
      <c r="M96" s="14"/>
      <c r="N96" s="14"/>
      <c r="O96" s="14"/>
      <c r="P96" s="14"/>
      <c r="Q96" s="4"/>
    </row>
    <row r="97" spans="1:31" ht="23.1" customHeight="1" x14ac:dyDescent="0.15">
      <c r="A97" s="5" t="s">
        <v>292</v>
      </c>
      <c r="B97" s="5" t="s">
        <v>359</v>
      </c>
      <c r="C97" s="5" t="s">
        <v>293</v>
      </c>
      <c r="D97" s="4" t="s">
        <v>164</v>
      </c>
      <c r="E97" s="4" t="s">
        <v>167</v>
      </c>
      <c r="F97" s="9" t="s">
        <v>80</v>
      </c>
      <c r="G97" s="7">
        <v>2268</v>
      </c>
      <c r="H97" s="14"/>
      <c r="I97" s="14"/>
      <c r="J97" s="14"/>
      <c r="K97" s="14"/>
      <c r="L97" s="14"/>
      <c r="M97" s="14"/>
      <c r="N97" s="14"/>
      <c r="O97" s="14"/>
      <c r="P97" s="14"/>
      <c r="Q97" s="4"/>
      <c r="AC97" s="13">
        <f>G97*H97</f>
        <v>0</v>
      </c>
    </row>
    <row r="98" spans="1:31" ht="23.1" customHeight="1" x14ac:dyDescent="0.15">
      <c r="A98" s="5" t="s">
        <v>294</v>
      </c>
      <c r="B98" s="5" t="s">
        <v>359</v>
      </c>
      <c r="C98" s="5" t="s">
        <v>295</v>
      </c>
      <c r="D98" s="4" t="s">
        <v>169</v>
      </c>
      <c r="E98" s="4" t="s">
        <v>170</v>
      </c>
      <c r="F98" s="9" t="s">
        <v>80</v>
      </c>
      <c r="G98" s="7">
        <v>44</v>
      </c>
      <c r="H98" s="14"/>
      <c r="I98" s="14"/>
      <c r="J98" s="14"/>
      <c r="K98" s="14"/>
      <c r="L98" s="14"/>
      <c r="M98" s="14"/>
      <c r="N98" s="14"/>
      <c r="O98" s="14"/>
      <c r="P98" s="14"/>
      <c r="Q98" s="4"/>
      <c r="AC98" s="13">
        <f>G98*H98</f>
        <v>0</v>
      </c>
    </row>
    <row r="99" spans="1:31" ht="23.1" customHeight="1" x14ac:dyDescent="0.15">
      <c r="A99" s="5" t="s">
        <v>300</v>
      </c>
      <c r="B99" s="5" t="s">
        <v>359</v>
      </c>
      <c r="C99" s="5" t="s">
        <v>301</v>
      </c>
      <c r="D99" s="4" t="s">
        <v>174</v>
      </c>
      <c r="E99" s="4" t="s">
        <v>177</v>
      </c>
      <c r="F99" s="9" t="s">
        <v>80</v>
      </c>
      <c r="G99" s="7">
        <v>44</v>
      </c>
      <c r="H99" s="14"/>
      <c r="I99" s="14"/>
      <c r="J99" s="14"/>
      <c r="K99" s="14"/>
      <c r="L99" s="14"/>
      <c r="M99" s="14"/>
      <c r="N99" s="14"/>
      <c r="O99" s="14"/>
      <c r="P99" s="14"/>
      <c r="Q99" s="4"/>
      <c r="AC99" s="13">
        <f>G99*H99</f>
        <v>0</v>
      </c>
    </row>
    <row r="100" spans="1:31" ht="23.1" customHeight="1" x14ac:dyDescent="0.15">
      <c r="A100" s="5" t="s">
        <v>310</v>
      </c>
      <c r="B100" s="5" t="s">
        <v>359</v>
      </c>
      <c r="C100" s="5" t="s">
        <v>311</v>
      </c>
      <c r="D100" s="4" t="s">
        <v>188</v>
      </c>
      <c r="E100" s="4" t="s">
        <v>189</v>
      </c>
      <c r="F100" s="9" t="s">
        <v>90</v>
      </c>
      <c r="G100" s="7">
        <v>60</v>
      </c>
      <c r="H100" s="14"/>
      <c r="I100" s="14"/>
      <c r="J100" s="14"/>
      <c r="K100" s="14"/>
      <c r="L100" s="14"/>
      <c r="M100" s="14"/>
      <c r="N100" s="14"/>
      <c r="O100" s="14"/>
      <c r="P100" s="14"/>
      <c r="Q100" s="4"/>
    </row>
    <row r="101" spans="1:31" ht="23.1" customHeight="1" x14ac:dyDescent="0.15">
      <c r="A101" s="5" t="s">
        <v>314</v>
      </c>
      <c r="B101" s="5" t="s">
        <v>359</v>
      </c>
      <c r="C101" s="5" t="s">
        <v>315</v>
      </c>
      <c r="D101" s="4" t="s">
        <v>188</v>
      </c>
      <c r="E101" s="4" t="s">
        <v>193</v>
      </c>
      <c r="F101" s="9" t="s">
        <v>90</v>
      </c>
      <c r="G101" s="7">
        <v>2</v>
      </c>
      <c r="H101" s="14"/>
      <c r="I101" s="14"/>
      <c r="J101" s="14"/>
      <c r="K101" s="14"/>
      <c r="L101" s="14"/>
      <c r="M101" s="14"/>
      <c r="N101" s="14"/>
      <c r="O101" s="14"/>
      <c r="P101" s="14"/>
      <c r="Q101" s="4"/>
    </row>
    <row r="102" spans="1:31" ht="23.1" customHeight="1" x14ac:dyDescent="0.15">
      <c r="A102" s="5" t="s">
        <v>247</v>
      </c>
      <c r="B102" s="5" t="s">
        <v>359</v>
      </c>
      <c r="C102" s="5" t="s">
        <v>248</v>
      </c>
      <c r="D102" s="4" t="s">
        <v>249</v>
      </c>
      <c r="E102" s="4" t="s">
        <v>241</v>
      </c>
      <c r="F102" s="9" t="s">
        <v>80</v>
      </c>
      <c r="G102" s="7">
        <v>3</v>
      </c>
      <c r="H102" s="14"/>
      <c r="I102" s="14"/>
      <c r="J102" s="14"/>
      <c r="K102" s="14"/>
      <c r="L102" s="14"/>
      <c r="M102" s="14"/>
      <c r="N102" s="14"/>
      <c r="O102" s="14"/>
      <c r="P102" s="14"/>
      <c r="Q102" s="4"/>
    </row>
    <row r="103" spans="1:31" ht="23.1" customHeight="1" x14ac:dyDescent="0.15">
      <c r="D103" s="4"/>
      <c r="E103" s="4"/>
      <c r="F103" s="9"/>
      <c r="G103" s="7"/>
      <c r="H103" s="14"/>
      <c r="I103" s="14"/>
      <c r="J103" s="14"/>
      <c r="K103" s="14"/>
      <c r="L103" s="14"/>
      <c r="M103" s="14"/>
      <c r="N103" s="14"/>
      <c r="O103" s="14"/>
      <c r="P103" s="14"/>
      <c r="Q103" s="4"/>
      <c r="AE103" s="13">
        <f>TRUNC(SUM(AE82:AE102))</f>
        <v>0</v>
      </c>
    </row>
    <row r="104" spans="1:31" ht="23.1" customHeight="1" x14ac:dyDescent="0.15">
      <c r="D104" s="4"/>
      <c r="E104" s="4"/>
      <c r="F104" s="9"/>
      <c r="G104" s="7"/>
      <c r="H104" s="14"/>
      <c r="I104" s="14"/>
      <c r="J104" s="14"/>
      <c r="K104" s="14"/>
      <c r="L104" s="14"/>
      <c r="M104" s="14"/>
      <c r="N104" s="14"/>
      <c r="O104" s="14"/>
      <c r="P104" s="14"/>
      <c r="Q104" s="4"/>
    </row>
    <row r="105" spans="1:31" ht="23.1" customHeight="1" x14ac:dyDescent="0.15">
      <c r="D105" s="4"/>
      <c r="E105" s="4"/>
      <c r="F105" s="9"/>
      <c r="G105" s="7"/>
      <c r="H105" s="14"/>
      <c r="I105" s="14"/>
      <c r="J105" s="14"/>
      <c r="K105" s="14"/>
      <c r="L105" s="14"/>
      <c r="M105" s="14"/>
      <c r="N105" s="14"/>
      <c r="O105" s="14"/>
      <c r="P105" s="14"/>
      <c r="Q105" s="4"/>
    </row>
    <row r="106" spans="1:31" ht="23.1" customHeight="1" x14ac:dyDescent="0.15">
      <c r="D106" s="4"/>
      <c r="E106" s="4"/>
      <c r="F106" s="9"/>
      <c r="G106" s="7"/>
      <c r="H106" s="14"/>
      <c r="I106" s="14">
        <f t="shared" ref="I83:I106" si="8">TRUNC(G106*H106)</f>
        <v>0</v>
      </c>
      <c r="J106" s="14"/>
      <c r="K106" s="14"/>
      <c r="L106" s="14">
        <f t="shared" ref="L83:L106" si="9">TRUNC(G106*K106)</f>
        <v>0</v>
      </c>
      <c r="M106" s="14"/>
      <c r="N106" s="14">
        <f t="shared" ref="N83:N106" si="10">TRUNC(G106*M106)</f>
        <v>0</v>
      </c>
      <c r="O106" s="14"/>
      <c r="P106" s="14">
        <f t="shared" ref="P83:P106" si="11">SUM(I106,L106,N106)</f>
        <v>0</v>
      </c>
      <c r="Q106" s="4"/>
    </row>
    <row r="107" spans="1:31" ht="23.1" customHeight="1" x14ac:dyDescent="0.15">
      <c r="B107" s="5" t="s">
        <v>342</v>
      </c>
      <c r="D107" s="4" t="s">
        <v>343</v>
      </c>
      <c r="E107" s="4"/>
      <c r="F107" s="9"/>
      <c r="G107" s="7"/>
      <c r="H107" s="14"/>
      <c r="I107" s="14">
        <f>TRUNC(SUM(I82:I106))</f>
        <v>0</v>
      </c>
      <c r="J107" s="14"/>
      <c r="K107" s="14"/>
      <c r="L107" s="14">
        <f>TRUNC(SUM(L82:L106))</f>
        <v>0</v>
      </c>
      <c r="M107" s="14"/>
      <c r="N107" s="14">
        <f>TRUNC(SUM(N82:N106))</f>
        <v>0</v>
      </c>
      <c r="O107" s="14"/>
      <c r="P107" s="14">
        <f>TRUNC(SUM(P82:P106))</f>
        <v>0</v>
      </c>
      <c r="Q107" s="4"/>
    </row>
    <row r="108" spans="1:31" ht="23.1" customHeight="1" x14ac:dyDescent="0.15">
      <c r="B108" s="5" t="s">
        <v>240</v>
      </c>
      <c r="D108" s="165" t="s">
        <v>362</v>
      </c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7"/>
    </row>
    <row r="109" spans="1:31" ht="23.1" customHeight="1" x14ac:dyDescent="0.15">
      <c r="A109" s="5" t="s">
        <v>250</v>
      </c>
      <c r="B109" s="5" t="s">
        <v>363</v>
      </c>
      <c r="C109" s="5" t="s">
        <v>251</v>
      </c>
      <c r="D109" s="4" t="s">
        <v>78</v>
      </c>
      <c r="E109" s="4" t="s">
        <v>79</v>
      </c>
      <c r="F109" s="9" t="s">
        <v>80</v>
      </c>
      <c r="G109" s="7">
        <v>14</v>
      </c>
      <c r="H109" s="14"/>
      <c r="I109" s="14"/>
      <c r="J109" s="14"/>
      <c r="K109" s="14"/>
      <c r="L109" s="14"/>
      <c r="M109" s="14"/>
      <c r="N109" s="14"/>
      <c r="O109" s="14"/>
      <c r="P109" s="14"/>
      <c r="Q109" s="4"/>
      <c r="AA109" s="13">
        <f>G109*H109</f>
        <v>0</v>
      </c>
      <c r="AC109" s="13">
        <f>G109*H109</f>
        <v>0</v>
      </c>
    </row>
    <row r="110" spans="1:31" ht="23.1" customHeight="1" x14ac:dyDescent="0.15">
      <c r="A110" s="5" t="s">
        <v>256</v>
      </c>
      <c r="B110" s="5" t="s">
        <v>363</v>
      </c>
      <c r="C110" s="5" t="s">
        <v>257</v>
      </c>
      <c r="D110" s="4" t="s">
        <v>86</v>
      </c>
      <c r="E110" s="4" t="s">
        <v>87</v>
      </c>
      <c r="F110" s="9" t="s">
        <v>80</v>
      </c>
      <c r="G110" s="7">
        <v>33</v>
      </c>
      <c r="H110" s="14"/>
      <c r="I110" s="14"/>
      <c r="J110" s="14"/>
      <c r="K110" s="14"/>
      <c r="L110" s="14"/>
      <c r="M110" s="14"/>
      <c r="N110" s="14"/>
      <c r="O110" s="14"/>
      <c r="P110" s="14"/>
      <c r="Q110" s="4"/>
      <c r="AC110" s="13">
        <f>G110*H110</f>
        <v>0</v>
      </c>
    </row>
    <row r="111" spans="1:31" ht="23.1" customHeight="1" x14ac:dyDescent="0.15">
      <c r="A111" s="5" t="s">
        <v>364</v>
      </c>
      <c r="B111" s="5" t="s">
        <v>363</v>
      </c>
      <c r="C111" s="5" t="s">
        <v>97</v>
      </c>
      <c r="D111" s="4" t="s">
        <v>86</v>
      </c>
      <c r="E111" s="4" t="s">
        <v>98</v>
      </c>
      <c r="F111" s="9" t="s">
        <v>90</v>
      </c>
      <c r="G111" s="7">
        <v>6</v>
      </c>
      <c r="H111" s="14"/>
      <c r="I111" s="14"/>
      <c r="J111" s="14"/>
      <c r="K111" s="14"/>
      <c r="L111" s="14"/>
      <c r="M111" s="14"/>
      <c r="N111" s="14"/>
      <c r="O111" s="14"/>
      <c r="P111" s="14"/>
      <c r="Q111" s="4"/>
    </row>
    <row r="112" spans="1:31" ht="23.1" customHeight="1" x14ac:dyDescent="0.15">
      <c r="A112" s="5" t="s">
        <v>258</v>
      </c>
      <c r="B112" s="5" t="s">
        <v>363</v>
      </c>
      <c r="C112" s="5" t="s">
        <v>259</v>
      </c>
      <c r="D112" s="4" t="s">
        <v>86</v>
      </c>
      <c r="E112" s="4" t="s">
        <v>100</v>
      </c>
      <c r="F112" s="9" t="s">
        <v>80</v>
      </c>
      <c r="G112" s="7">
        <v>86</v>
      </c>
      <c r="H112" s="14"/>
      <c r="I112" s="14"/>
      <c r="J112" s="14"/>
      <c r="K112" s="14"/>
      <c r="L112" s="14"/>
      <c r="M112" s="14"/>
      <c r="N112" s="14"/>
      <c r="O112" s="14"/>
      <c r="P112" s="14"/>
      <c r="Q112" s="4"/>
      <c r="AC112" s="13">
        <f>G112*H112</f>
        <v>0</v>
      </c>
    </row>
    <row r="113" spans="1:31" ht="23.1" customHeight="1" x14ac:dyDescent="0.15">
      <c r="A113" s="5" t="s">
        <v>268</v>
      </c>
      <c r="B113" s="5" t="s">
        <v>363</v>
      </c>
      <c r="C113" s="5" t="s">
        <v>269</v>
      </c>
      <c r="D113" s="4" t="s">
        <v>111</v>
      </c>
      <c r="E113" s="4" t="s">
        <v>112</v>
      </c>
      <c r="F113" s="9" t="s">
        <v>90</v>
      </c>
      <c r="G113" s="7">
        <v>8</v>
      </c>
      <c r="H113" s="14"/>
      <c r="I113" s="14"/>
      <c r="J113" s="14"/>
      <c r="K113" s="14"/>
      <c r="L113" s="14"/>
      <c r="M113" s="14"/>
      <c r="N113" s="14"/>
      <c r="O113" s="14"/>
      <c r="P113" s="14"/>
      <c r="Q113" s="4"/>
    </row>
    <row r="114" spans="1:31" ht="23.1" customHeight="1" x14ac:dyDescent="0.15">
      <c r="A114" s="5" t="s">
        <v>272</v>
      </c>
      <c r="B114" s="5" t="s">
        <v>363</v>
      </c>
      <c r="C114" s="5" t="s">
        <v>273</v>
      </c>
      <c r="D114" s="4" t="s">
        <v>121</v>
      </c>
      <c r="E114" s="4" t="s">
        <v>122</v>
      </c>
      <c r="F114" s="9" t="s">
        <v>90</v>
      </c>
      <c r="G114" s="7">
        <v>7</v>
      </c>
      <c r="H114" s="14"/>
      <c r="I114" s="14"/>
      <c r="J114" s="14"/>
      <c r="K114" s="14"/>
      <c r="L114" s="14"/>
      <c r="M114" s="14"/>
      <c r="N114" s="14"/>
      <c r="O114" s="14"/>
      <c r="P114" s="14"/>
      <c r="Q114" s="4"/>
    </row>
    <row r="115" spans="1:31" ht="23.1" customHeight="1" x14ac:dyDescent="0.15">
      <c r="A115" s="5" t="s">
        <v>286</v>
      </c>
      <c r="B115" s="5" t="s">
        <v>363</v>
      </c>
      <c r="C115" s="5" t="s">
        <v>287</v>
      </c>
      <c r="D115" s="4" t="s">
        <v>153</v>
      </c>
      <c r="E115" s="4" t="s">
        <v>154</v>
      </c>
      <c r="F115" s="9" t="s">
        <v>80</v>
      </c>
      <c r="G115" s="7">
        <v>4</v>
      </c>
      <c r="H115" s="14"/>
      <c r="I115" s="14"/>
      <c r="J115" s="14"/>
      <c r="K115" s="14"/>
      <c r="L115" s="14"/>
      <c r="M115" s="14"/>
      <c r="N115" s="14"/>
      <c r="O115" s="14"/>
      <c r="P115" s="14"/>
      <c r="Q115" s="4"/>
    </row>
    <row r="116" spans="1:31" ht="23.1" customHeight="1" x14ac:dyDescent="0.15">
      <c r="A116" s="5" t="s">
        <v>292</v>
      </c>
      <c r="B116" s="5" t="s">
        <v>363</v>
      </c>
      <c r="C116" s="5" t="s">
        <v>293</v>
      </c>
      <c r="D116" s="4" t="s">
        <v>164</v>
      </c>
      <c r="E116" s="4" t="s">
        <v>167</v>
      </c>
      <c r="F116" s="9" t="s">
        <v>80</v>
      </c>
      <c r="G116" s="7">
        <v>282</v>
      </c>
      <c r="H116" s="14"/>
      <c r="I116" s="14"/>
      <c r="J116" s="14"/>
      <c r="K116" s="14"/>
      <c r="L116" s="14"/>
      <c r="M116" s="14"/>
      <c r="N116" s="14"/>
      <c r="O116" s="14"/>
      <c r="P116" s="14"/>
      <c r="Q116" s="4"/>
      <c r="AC116" s="13">
        <f>G116*H116</f>
        <v>0</v>
      </c>
    </row>
    <row r="117" spans="1:31" ht="23.1" customHeight="1" x14ac:dyDescent="0.15">
      <c r="A117" s="5" t="s">
        <v>294</v>
      </c>
      <c r="B117" s="5" t="s">
        <v>363</v>
      </c>
      <c r="C117" s="5" t="s">
        <v>295</v>
      </c>
      <c r="D117" s="4" t="s">
        <v>169</v>
      </c>
      <c r="E117" s="4" t="s">
        <v>170</v>
      </c>
      <c r="F117" s="9" t="s">
        <v>80</v>
      </c>
      <c r="G117" s="7">
        <v>33</v>
      </c>
      <c r="H117" s="14"/>
      <c r="I117" s="14"/>
      <c r="J117" s="14"/>
      <c r="K117" s="14"/>
      <c r="L117" s="14"/>
      <c r="M117" s="14"/>
      <c r="N117" s="14"/>
      <c r="O117" s="14"/>
      <c r="P117" s="14"/>
      <c r="Q117" s="4"/>
      <c r="AC117" s="13">
        <f>G117*H117</f>
        <v>0</v>
      </c>
    </row>
    <row r="118" spans="1:31" ht="23.1" customHeight="1" x14ac:dyDescent="0.15">
      <c r="A118" s="5" t="s">
        <v>298</v>
      </c>
      <c r="B118" s="5" t="s">
        <v>363</v>
      </c>
      <c r="C118" s="5" t="s">
        <v>299</v>
      </c>
      <c r="D118" s="4" t="s">
        <v>174</v>
      </c>
      <c r="E118" s="4" t="s">
        <v>175</v>
      </c>
      <c r="F118" s="9" t="s">
        <v>80</v>
      </c>
      <c r="G118" s="7">
        <v>34</v>
      </c>
      <c r="H118" s="14"/>
      <c r="I118" s="14"/>
      <c r="J118" s="14"/>
      <c r="K118" s="14"/>
      <c r="L118" s="14"/>
      <c r="M118" s="14"/>
      <c r="N118" s="14"/>
      <c r="O118" s="14"/>
      <c r="P118" s="14"/>
      <c r="Q118" s="4"/>
      <c r="AC118" s="13">
        <f>G118*H118</f>
        <v>0</v>
      </c>
    </row>
    <row r="119" spans="1:31" ht="23.1" customHeight="1" x14ac:dyDescent="0.15">
      <c r="A119" s="5" t="s">
        <v>312</v>
      </c>
      <c r="B119" s="5" t="s">
        <v>363</v>
      </c>
      <c r="C119" s="5" t="s">
        <v>313</v>
      </c>
      <c r="D119" s="4" t="s">
        <v>188</v>
      </c>
      <c r="E119" s="4" t="s">
        <v>191</v>
      </c>
      <c r="F119" s="9" t="s">
        <v>90</v>
      </c>
      <c r="G119" s="7">
        <v>4</v>
      </c>
      <c r="H119" s="14"/>
      <c r="I119" s="14"/>
      <c r="J119" s="14"/>
      <c r="K119" s="14"/>
      <c r="L119" s="14"/>
      <c r="M119" s="14"/>
      <c r="N119" s="14"/>
      <c r="O119" s="14"/>
      <c r="P119" s="14"/>
      <c r="Q119" s="4"/>
    </row>
    <row r="120" spans="1:31" ht="23.1" customHeight="1" x14ac:dyDescent="0.15">
      <c r="A120" s="5" t="s">
        <v>316</v>
      </c>
      <c r="B120" s="5" t="s">
        <v>363</v>
      </c>
      <c r="C120" s="5" t="s">
        <v>317</v>
      </c>
      <c r="D120" s="4" t="s">
        <v>195</v>
      </c>
      <c r="E120" s="4" t="s">
        <v>196</v>
      </c>
      <c r="F120" s="9" t="s">
        <v>197</v>
      </c>
      <c r="G120" s="7">
        <v>2</v>
      </c>
      <c r="H120" s="14"/>
      <c r="I120" s="14"/>
      <c r="J120" s="14"/>
      <c r="K120" s="14"/>
      <c r="L120" s="14"/>
      <c r="M120" s="14"/>
      <c r="N120" s="14"/>
      <c r="O120" s="14"/>
      <c r="P120" s="14"/>
      <c r="Q120" s="4"/>
    </row>
    <row r="121" spans="1:31" ht="23.1" customHeight="1" x14ac:dyDescent="0.15">
      <c r="D121" s="4"/>
      <c r="E121" s="4"/>
      <c r="F121" s="9"/>
      <c r="G121" s="7"/>
      <c r="H121" s="14"/>
      <c r="I121" s="14"/>
      <c r="J121" s="14"/>
      <c r="K121" s="14"/>
      <c r="L121" s="14"/>
      <c r="M121" s="14"/>
      <c r="N121" s="14"/>
      <c r="O121" s="14"/>
      <c r="P121" s="14"/>
      <c r="Q121" s="4"/>
      <c r="AE121" s="13">
        <f>TRUNC(SUM(AE108:AE120))</f>
        <v>0</v>
      </c>
    </row>
    <row r="122" spans="1:31" ht="23.1" customHeight="1" x14ac:dyDescent="0.15">
      <c r="D122" s="4"/>
      <c r="E122" s="4"/>
      <c r="F122" s="9"/>
      <c r="G122" s="7"/>
      <c r="H122" s="14"/>
      <c r="I122" s="14"/>
      <c r="J122" s="14"/>
      <c r="K122" s="14"/>
      <c r="L122" s="14"/>
      <c r="M122" s="14"/>
      <c r="N122" s="14"/>
      <c r="O122" s="14"/>
      <c r="P122" s="14"/>
      <c r="Q122" s="4"/>
    </row>
    <row r="123" spans="1:31" ht="23.1" customHeight="1" x14ac:dyDescent="0.15">
      <c r="D123" s="4"/>
      <c r="E123" s="4"/>
      <c r="F123" s="9"/>
      <c r="G123" s="7"/>
      <c r="H123" s="14"/>
      <c r="I123" s="14"/>
      <c r="J123" s="14"/>
      <c r="K123" s="14"/>
      <c r="L123" s="14"/>
      <c r="M123" s="14"/>
      <c r="N123" s="14"/>
      <c r="O123" s="14"/>
      <c r="P123" s="14"/>
      <c r="Q123" s="4"/>
    </row>
    <row r="124" spans="1:31" ht="23.1" customHeight="1" x14ac:dyDescent="0.15">
      <c r="D124" s="4"/>
      <c r="E124" s="4"/>
      <c r="F124" s="9"/>
      <c r="G124" s="7"/>
      <c r="H124" s="14"/>
      <c r="I124" s="14"/>
      <c r="J124" s="14"/>
      <c r="K124" s="14"/>
      <c r="L124" s="14"/>
      <c r="M124" s="14"/>
      <c r="N124" s="14"/>
      <c r="O124" s="14"/>
      <c r="P124" s="14"/>
      <c r="Q124" s="4"/>
    </row>
    <row r="125" spans="1:31" ht="23.1" customHeight="1" x14ac:dyDescent="0.15">
      <c r="D125" s="4"/>
      <c r="E125" s="4"/>
      <c r="F125" s="9"/>
      <c r="G125" s="7"/>
      <c r="H125" s="14"/>
      <c r="I125" s="14"/>
      <c r="J125" s="14"/>
      <c r="K125" s="14"/>
      <c r="L125" s="14"/>
      <c r="M125" s="14"/>
      <c r="N125" s="14"/>
      <c r="O125" s="14"/>
      <c r="P125" s="14"/>
      <c r="Q125" s="4"/>
    </row>
    <row r="126" spans="1:31" ht="23.1" customHeight="1" x14ac:dyDescent="0.15">
      <c r="D126" s="4"/>
      <c r="E126" s="4"/>
      <c r="F126" s="9"/>
      <c r="G126" s="7"/>
      <c r="H126" s="14"/>
      <c r="I126" s="14"/>
      <c r="J126" s="14"/>
      <c r="K126" s="14"/>
      <c r="L126" s="14"/>
      <c r="M126" s="14"/>
      <c r="N126" s="14"/>
      <c r="O126" s="14"/>
      <c r="P126" s="14"/>
      <c r="Q126" s="4"/>
    </row>
    <row r="127" spans="1:31" ht="23.1" customHeight="1" x14ac:dyDescent="0.15">
      <c r="D127" s="4"/>
      <c r="E127" s="4"/>
      <c r="F127" s="9"/>
      <c r="G127" s="7"/>
      <c r="H127" s="14"/>
      <c r="I127" s="14">
        <f t="shared" ref="I109:I132" si="12">TRUNC(G127*H127)</f>
        <v>0</v>
      </c>
      <c r="J127" s="14"/>
      <c r="K127" s="14"/>
      <c r="L127" s="14">
        <f t="shared" ref="L109:L132" si="13">TRUNC(G127*K127)</f>
        <v>0</v>
      </c>
      <c r="M127" s="14"/>
      <c r="N127" s="14">
        <f t="shared" ref="N109:N132" si="14">TRUNC(G127*M127)</f>
        <v>0</v>
      </c>
      <c r="O127" s="14"/>
      <c r="P127" s="14">
        <f t="shared" ref="P109:P132" si="15">SUM(I127,L127,N127)</f>
        <v>0</v>
      </c>
      <c r="Q127" s="4"/>
    </row>
    <row r="128" spans="1:31" ht="23.1" customHeight="1" x14ac:dyDescent="0.15">
      <c r="D128" s="4"/>
      <c r="E128" s="4"/>
      <c r="F128" s="9"/>
      <c r="G128" s="7"/>
      <c r="H128" s="14"/>
      <c r="I128" s="14">
        <f t="shared" si="12"/>
        <v>0</v>
      </c>
      <c r="J128" s="14"/>
      <c r="K128" s="14"/>
      <c r="L128" s="14">
        <f t="shared" si="13"/>
        <v>0</v>
      </c>
      <c r="M128" s="14"/>
      <c r="N128" s="14">
        <f t="shared" si="14"/>
        <v>0</v>
      </c>
      <c r="O128" s="14"/>
      <c r="P128" s="14">
        <f t="shared" si="15"/>
        <v>0</v>
      </c>
      <c r="Q128" s="4"/>
    </row>
    <row r="129" spans="1:31" ht="23.1" customHeight="1" x14ac:dyDescent="0.15">
      <c r="D129" s="4"/>
      <c r="E129" s="4"/>
      <c r="F129" s="9"/>
      <c r="G129" s="7"/>
      <c r="H129" s="14"/>
      <c r="I129" s="14">
        <f t="shared" si="12"/>
        <v>0</v>
      </c>
      <c r="J129" s="14"/>
      <c r="K129" s="14"/>
      <c r="L129" s="14">
        <f t="shared" si="13"/>
        <v>0</v>
      </c>
      <c r="M129" s="14"/>
      <c r="N129" s="14">
        <f t="shared" si="14"/>
        <v>0</v>
      </c>
      <c r="O129" s="14"/>
      <c r="P129" s="14">
        <f t="shared" si="15"/>
        <v>0</v>
      </c>
      <c r="Q129" s="4"/>
    </row>
    <row r="130" spans="1:31" ht="23.1" customHeight="1" x14ac:dyDescent="0.15">
      <c r="D130" s="4"/>
      <c r="E130" s="4"/>
      <c r="F130" s="9"/>
      <c r="G130" s="7"/>
      <c r="H130" s="14"/>
      <c r="I130" s="14">
        <f t="shared" si="12"/>
        <v>0</v>
      </c>
      <c r="J130" s="14"/>
      <c r="K130" s="14"/>
      <c r="L130" s="14">
        <f t="shared" si="13"/>
        <v>0</v>
      </c>
      <c r="M130" s="14"/>
      <c r="N130" s="14">
        <f t="shared" si="14"/>
        <v>0</v>
      </c>
      <c r="O130" s="14"/>
      <c r="P130" s="14">
        <f t="shared" si="15"/>
        <v>0</v>
      </c>
      <c r="Q130" s="4"/>
    </row>
    <row r="131" spans="1:31" ht="23.1" customHeight="1" x14ac:dyDescent="0.15">
      <c r="D131" s="4"/>
      <c r="E131" s="4"/>
      <c r="F131" s="9"/>
      <c r="G131" s="7"/>
      <c r="H131" s="14"/>
      <c r="I131" s="14">
        <f t="shared" si="12"/>
        <v>0</v>
      </c>
      <c r="J131" s="14"/>
      <c r="K131" s="14"/>
      <c r="L131" s="14">
        <f t="shared" si="13"/>
        <v>0</v>
      </c>
      <c r="M131" s="14"/>
      <c r="N131" s="14">
        <f t="shared" si="14"/>
        <v>0</v>
      </c>
      <c r="O131" s="14"/>
      <c r="P131" s="14">
        <f t="shared" si="15"/>
        <v>0</v>
      </c>
      <c r="Q131" s="4"/>
    </row>
    <row r="132" spans="1:31" ht="23.1" customHeight="1" x14ac:dyDescent="0.15">
      <c r="D132" s="4"/>
      <c r="E132" s="4"/>
      <c r="F132" s="9"/>
      <c r="G132" s="7"/>
      <c r="H132" s="14"/>
      <c r="I132" s="14">
        <f t="shared" si="12"/>
        <v>0</v>
      </c>
      <c r="J132" s="14"/>
      <c r="K132" s="14"/>
      <c r="L132" s="14">
        <f t="shared" si="13"/>
        <v>0</v>
      </c>
      <c r="M132" s="14"/>
      <c r="N132" s="14">
        <f t="shared" si="14"/>
        <v>0</v>
      </c>
      <c r="O132" s="14"/>
      <c r="P132" s="14">
        <f t="shared" si="15"/>
        <v>0</v>
      </c>
      <c r="Q132" s="4"/>
    </row>
    <row r="133" spans="1:31" ht="23.1" customHeight="1" x14ac:dyDescent="0.15">
      <c r="B133" s="5" t="s">
        <v>342</v>
      </c>
      <c r="D133" s="4" t="s">
        <v>343</v>
      </c>
      <c r="E133" s="4"/>
      <c r="F133" s="9"/>
      <c r="G133" s="7"/>
      <c r="H133" s="14"/>
      <c r="I133" s="14">
        <f>TRUNC(SUM(I108:I132))</f>
        <v>0</v>
      </c>
      <c r="J133" s="14"/>
      <c r="K133" s="14"/>
      <c r="L133" s="14">
        <f>TRUNC(SUM(L108:L132))</f>
        <v>0</v>
      </c>
      <c r="M133" s="14"/>
      <c r="N133" s="14">
        <f>TRUNC(SUM(N108:N132))</f>
        <v>0</v>
      </c>
      <c r="O133" s="14"/>
      <c r="P133" s="14">
        <f>TRUNC(SUM(P108:P132))</f>
        <v>0</v>
      </c>
      <c r="Q133" s="4"/>
    </row>
    <row r="134" spans="1:31" ht="23.1" customHeight="1" x14ac:dyDescent="0.15">
      <c r="B134" s="5" t="s">
        <v>240</v>
      </c>
      <c r="D134" s="165" t="s">
        <v>365</v>
      </c>
      <c r="E134" s="166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7"/>
    </row>
    <row r="135" spans="1:31" ht="23.1" customHeight="1" x14ac:dyDescent="0.15">
      <c r="A135" s="5" t="s">
        <v>318</v>
      </c>
      <c r="B135" s="5" t="s">
        <v>366</v>
      </c>
      <c r="C135" s="5" t="s">
        <v>319</v>
      </c>
      <c r="D135" s="4" t="s">
        <v>202</v>
      </c>
      <c r="E135" s="4" t="s">
        <v>203</v>
      </c>
      <c r="F135" s="9" t="s">
        <v>197</v>
      </c>
      <c r="G135" s="7">
        <v>49</v>
      </c>
      <c r="H135" s="14"/>
      <c r="I135" s="14"/>
      <c r="J135" s="14"/>
      <c r="K135" s="14"/>
      <c r="L135" s="14"/>
      <c r="M135" s="14"/>
      <c r="N135" s="14"/>
      <c r="O135" s="14"/>
      <c r="P135" s="14"/>
      <c r="Q135" s="4"/>
    </row>
    <row r="136" spans="1:31" ht="23.1" customHeight="1" x14ac:dyDescent="0.15">
      <c r="A136" s="5" t="s">
        <v>326</v>
      </c>
      <c r="B136" s="5" t="s">
        <v>366</v>
      </c>
      <c r="C136" s="5" t="s">
        <v>327</v>
      </c>
      <c r="D136" s="4" t="s">
        <v>212</v>
      </c>
      <c r="E136" s="4" t="s">
        <v>213</v>
      </c>
      <c r="F136" s="9" t="s">
        <v>197</v>
      </c>
      <c r="G136" s="7">
        <v>43</v>
      </c>
      <c r="H136" s="14"/>
      <c r="I136" s="14"/>
      <c r="J136" s="14"/>
      <c r="K136" s="14"/>
      <c r="L136" s="14"/>
      <c r="M136" s="14"/>
      <c r="N136" s="14"/>
      <c r="O136" s="14"/>
      <c r="P136" s="14"/>
      <c r="Q136" s="4"/>
    </row>
    <row r="137" spans="1:31" ht="23.1" customHeight="1" x14ac:dyDescent="0.15">
      <c r="A137" s="5" t="s">
        <v>328</v>
      </c>
      <c r="B137" s="5" t="s">
        <v>366</v>
      </c>
      <c r="C137" s="5" t="s">
        <v>329</v>
      </c>
      <c r="D137" s="4" t="s">
        <v>214</v>
      </c>
      <c r="E137" s="4" t="s">
        <v>215</v>
      </c>
      <c r="F137" s="9" t="s">
        <v>197</v>
      </c>
      <c r="G137" s="7">
        <v>59</v>
      </c>
      <c r="H137" s="14"/>
      <c r="I137" s="14"/>
      <c r="J137" s="14"/>
      <c r="K137" s="14"/>
      <c r="L137" s="14"/>
      <c r="M137" s="14"/>
      <c r="N137" s="14"/>
      <c r="O137" s="14"/>
      <c r="P137" s="14"/>
      <c r="Q137" s="4"/>
    </row>
    <row r="138" spans="1:31" ht="23.1" customHeight="1" x14ac:dyDescent="0.15">
      <c r="A138" s="5" t="s">
        <v>330</v>
      </c>
      <c r="B138" s="5" t="s">
        <v>366</v>
      </c>
      <c r="C138" s="5" t="s">
        <v>331</v>
      </c>
      <c r="D138" s="4" t="s">
        <v>216</v>
      </c>
      <c r="E138" s="4" t="s">
        <v>217</v>
      </c>
      <c r="F138" s="9" t="s">
        <v>197</v>
      </c>
      <c r="G138" s="7">
        <v>10</v>
      </c>
      <c r="H138" s="14"/>
      <c r="I138" s="14"/>
      <c r="J138" s="14"/>
      <c r="K138" s="14"/>
      <c r="L138" s="14"/>
      <c r="M138" s="14"/>
      <c r="N138" s="14"/>
      <c r="O138" s="14"/>
      <c r="P138" s="14"/>
      <c r="Q138" s="4"/>
    </row>
    <row r="139" spans="1:31" ht="23.1" customHeight="1" x14ac:dyDescent="0.15">
      <c r="A139" s="5" t="s">
        <v>332</v>
      </c>
      <c r="B139" s="5" t="s">
        <v>366</v>
      </c>
      <c r="C139" s="5" t="s">
        <v>333</v>
      </c>
      <c r="D139" s="4" t="s">
        <v>218</v>
      </c>
      <c r="E139" s="4" t="s">
        <v>215</v>
      </c>
      <c r="F139" s="9" t="s">
        <v>197</v>
      </c>
      <c r="G139" s="7">
        <v>6</v>
      </c>
      <c r="H139" s="14"/>
      <c r="I139" s="14"/>
      <c r="J139" s="14"/>
      <c r="K139" s="14"/>
      <c r="L139" s="14"/>
      <c r="M139" s="14"/>
      <c r="N139" s="14"/>
      <c r="O139" s="14"/>
      <c r="P139" s="14"/>
      <c r="Q139" s="4"/>
    </row>
    <row r="140" spans="1:31" ht="23.1" customHeight="1" x14ac:dyDescent="0.15">
      <c r="A140" s="5" t="s">
        <v>334</v>
      </c>
      <c r="B140" s="5" t="s">
        <v>366</v>
      </c>
      <c r="C140" s="5" t="s">
        <v>335</v>
      </c>
      <c r="D140" s="4" t="s">
        <v>219</v>
      </c>
      <c r="E140" s="4" t="s">
        <v>220</v>
      </c>
      <c r="F140" s="9" t="s">
        <v>197</v>
      </c>
      <c r="G140" s="7">
        <v>15</v>
      </c>
      <c r="H140" s="14"/>
      <c r="I140" s="14"/>
      <c r="J140" s="14"/>
      <c r="K140" s="14"/>
      <c r="L140" s="14"/>
      <c r="M140" s="14"/>
      <c r="N140" s="14"/>
      <c r="O140" s="14"/>
      <c r="P140" s="14"/>
      <c r="Q140" s="4"/>
    </row>
    <row r="141" spans="1:31" ht="23.1" customHeight="1" x14ac:dyDescent="0.15">
      <c r="D141" s="4"/>
      <c r="E141" s="4"/>
      <c r="F141" s="9"/>
      <c r="G141" s="7"/>
      <c r="H141" s="14"/>
      <c r="I141" s="14"/>
      <c r="J141" s="14"/>
      <c r="K141" s="14"/>
      <c r="L141" s="14"/>
      <c r="M141" s="14"/>
      <c r="N141" s="14"/>
      <c r="O141" s="14"/>
      <c r="P141" s="14"/>
      <c r="Q141" s="4"/>
      <c r="AE141" s="13">
        <f>TRUNC(SUM(AE134:AE140))</f>
        <v>0</v>
      </c>
    </row>
    <row r="142" spans="1:31" ht="23.1" customHeight="1" x14ac:dyDescent="0.15">
      <c r="D142" s="4"/>
      <c r="E142" s="4"/>
      <c r="F142" s="9"/>
      <c r="G142" s="7"/>
      <c r="H142" s="14"/>
      <c r="I142" s="14"/>
      <c r="J142" s="14"/>
      <c r="K142" s="14"/>
      <c r="L142" s="14"/>
      <c r="M142" s="14"/>
      <c r="N142" s="14"/>
      <c r="O142" s="14"/>
      <c r="P142" s="14"/>
      <c r="Q142" s="4"/>
    </row>
    <row r="143" spans="1:31" ht="23.1" customHeight="1" x14ac:dyDescent="0.15">
      <c r="D143" s="4"/>
      <c r="E143" s="4"/>
      <c r="F143" s="9"/>
      <c r="G143" s="7"/>
      <c r="H143" s="14"/>
      <c r="I143" s="14"/>
      <c r="J143" s="14"/>
      <c r="K143" s="14"/>
      <c r="L143" s="14"/>
      <c r="M143" s="14"/>
      <c r="N143" s="14"/>
      <c r="O143" s="14"/>
      <c r="P143" s="14"/>
      <c r="Q143" s="4"/>
    </row>
    <row r="144" spans="1:31" ht="23.1" customHeight="1" x14ac:dyDescent="0.15">
      <c r="D144" s="4"/>
      <c r="E144" s="4"/>
      <c r="F144" s="9"/>
      <c r="G144" s="7"/>
      <c r="H144" s="14"/>
      <c r="I144" s="14"/>
      <c r="J144" s="14"/>
      <c r="K144" s="14"/>
      <c r="L144" s="14"/>
      <c r="M144" s="14"/>
      <c r="N144" s="14"/>
      <c r="O144" s="14"/>
      <c r="P144" s="14"/>
      <c r="Q144" s="4"/>
    </row>
    <row r="145" spans="2:17" ht="23.1" customHeight="1" x14ac:dyDescent="0.15">
      <c r="D145" s="4"/>
      <c r="E145" s="4"/>
      <c r="F145" s="9"/>
      <c r="G145" s="7"/>
      <c r="H145" s="14"/>
      <c r="I145" s="14"/>
      <c r="J145" s="14"/>
      <c r="K145" s="14"/>
      <c r="L145" s="14"/>
      <c r="M145" s="14"/>
      <c r="N145" s="14"/>
      <c r="O145" s="14"/>
      <c r="P145" s="14"/>
      <c r="Q145" s="4"/>
    </row>
    <row r="146" spans="2:17" ht="23.1" customHeight="1" x14ac:dyDescent="0.15">
      <c r="D146" s="4"/>
      <c r="E146" s="4"/>
      <c r="F146" s="9"/>
      <c r="G146" s="7"/>
      <c r="H146" s="14"/>
      <c r="I146" s="14">
        <f t="shared" ref="I135:I158" si="16">TRUNC(G146*H146)</f>
        <v>0</v>
      </c>
      <c r="J146" s="14"/>
      <c r="K146" s="14"/>
      <c r="L146" s="14">
        <f t="shared" ref="L135:L158" si="17">TRUNC(G146*K146)</f>
        <v>0</v>
      </c>
      <c r="M146" s="14"/>
      <c r="N146" s="14">
        <f t="shared" ref="N135:N158" si="18">TRUNC(G146*M146)</f>
        <v>0</v>
      </c>
      <c r="O146" s="14"/>
      <c r="P146" s="14">
        <f t="shared" ref="P135:P158" si="19">SUM(I146,L146,N146)</f>
        <v>0</v>
      </c>
      <c r="Q146" s="4"/>
    </row>
    <row r="147" spans="2:17" ht="23.1" customHeight="1" x14ac:dyDescent="0.15">
      <c r="D147" s="4"/>
      <c r="E147" s="4"/>
      <c r="F147" s="9"/>
      <c r="G147" s="7"/>
      <c r="H147" s="14"/>
      <c r="I147" s="14">
        <f t="shared" si="16"/>
        <v>0</v>
      </c>
      <c r="J147" s="14"/>
      <c r="K147" s="14"/>
      <c r="L147" s="14">
        <f t="shared" si="17"/>
        <v>0</v>
      </c>
      <c r="M147" s="14"/>
      <c r="N147" s="14">
        <f t="shared" si="18"/>
        <v>0</v>
      </c>
      <c r="O147" s="14"/>
      <c r="P147" s="14">
        <f t="shared" si="19"/>
        <v>0</v>
      </c>
      <c r="Q147" s="4"/>
    </row>
    <row r="148" spans="2:17" ht="23.1" customHeight="1" x14ac:dyDescent="0.15">
      <c r="D148" s="4"/>
      <c r="E148" s="4"/>
      <c r="F148" s="9"/>
      <c r="G148" s="7"/>
      <c r="H148" s="14"/>
      <c r="I148" s="14">
        <f t="shared" si="16"/>
        <v>0</v>
      </c>
      <c r="J148" s="14"/>
      <c r="K148" s="14"/>
      <c r="L148" s="14">
        <f t="shared" si="17"/>
        <v>0</v>
      </c>
      <c r="M148" s="14"/>
      <c r="N148" s="14">
        <f t="shared" si="18"/>
        <v>0</v>
      </c>
      <c r="O148" s="14"/>
      <c r="P148" s="14">
        <f t="shared" si="19"/>
        <v>0</v>
      </c>
      <c r="Q148" s="4"/>
    </row>
    <row r="149" spans="2:17" ht="23.1" customHeight="1" x14ac:dyDescent="0.15">
      <c r="D149" s="4"/>
      <c r="E149" s="4"/>
      <c r="F149" s="9"/>
      <c r="G149" s="7"/>
      <c r="H149" s="14"/>
      <c r="I149" s="14">
        <f t="shared" si="16"/>
        <v>0</v>
      </c>
      <c r="J149" s="14"/>
      <c r="K149" s="14"/>
      <c r="L149" s="14">
        <f t="shared" si="17"/>
        <v>0</v>
      </c>
      <c r="M149" s="14"/>
      <c r="N149" s="14">
        <f t="shared" si="18"/>
        <v>0</v>
      </c>
      <c r="O149" s="14"/>
      <c r="P149" s="14">
        <f t="shared" si="19"/>
        <v>0</v>
      </c>
      <c r="Q149" s="4"/>
    </row>
    <row r="150" spans="2:17" ht="23.1" customHeight="1" x14ac:dyDescent="0.15">
      <c r="D150" s="4"/>
      <c r="E150" s="4"/>
      <c r="F150" s="9"/>
      <c r="G150" s="7"/>
      <c r="H150" s="14"/>
      <c r="I150" s="14">
        <f t="shared" si="16"/>
        <v>0</v>
      </c>
      <c r="J150" s="14"/>
      <c r="K150" s="14"/>
      <c r="L150" s="14">
        <f t="shared" si="17"/>
        <v>0</v>
      </c>
      <c r="M150" s="14"/>
      <c r="N150" s="14">
        <f t="shared" si="18"/>
        <v>0</v>
      </c>
      <c r="O150" s="14"/>
      <c r="P150" s="14">
        <f t="shared" si="19"/>
        <v>0</v>
      </c>
      <c r="Q150" s="4"/>
    </row>
    <row r="151" spans="2:17" ht="23.1" customHeight="1" x14ac:dyDescent="0.15">
      <c r="D151" s="4"/>
      <c r="E151" s="4"/>
      <c r="F151" s="9"/>
      <c r="G151" s="7"/>
      <c r="H151" s="14"/>
      <c r="I151" s="14">
        <f t="shared" si="16"/>
        <v>0</v>
      </c>
      <c r="J151" s="14"/>
      <c r="K151" s="14"/>
      <c r="L151" s="14">
        <f t="shared" si="17"/>
        <v>0</v>
      </c>
      <c r="M151" s="14"/>
      <c r="N151" s="14">
        <f t="shared" si="18"/>
        <v>0</v>
      </c>
      <c r="O151" s="14"/>
      <c r="P151" s="14">
        <f t="shared" si="19"/>
        <v>0</v>
      </c>
      <c r="Q151" s="4"/>
    </row>
    <row r="152" spans="2:17" ht="23.1" customHeight="1" x14ac:dyDescent="0.15">
      <c r="D152" s="4"/>
      <c r="E152" s="4"/>
      <c r="F152" s="9"/>
      <c r="G152" s="7"/>
      <c r="H152" s="14"/>
      <c r="I152" s="14">
        <f t="shared" si="16"/>
        <v>0</v>
      </c>
      <c r="J152" s="14"/>
      <c r="K152" s="14"/>
      <c r="L152" s="14">
        <f t="shared" si="17"/>
        <v>0</v>
      </c>
      <c r="M152" s="14"/>
      <c r="N152" s="14">
        <f t="shared" si="18"/>
        <v>0</v>
      </c>
      <c r="O152" s="14"/>
      <c r="P152" s="14">
        <f t="shared" si="19"/>
        <v>0</v>
      </c>
      <c r="Q152" s="4"/>
    </row>
    <row r="153" spans="2:17" ht="23.1" customHeight="1" x14ac:dyDescent="0.15">
      <c r="D153" s="4"/>
      <c r="E153" s="4"/>
      <c r="F153" s="9"/>
      <c r="G153" s="7"/>
      <c r="H153" s="14"/>
      <c r="I153" s="14">
        <f t="shared" si="16"/>
        <v>0</v>
      </c>
      <c r="J153" s="14"/>
      <c r="K153" s="14"/>
      <c r="L153" s="14">
        <f t="shared" si="17"/>
        <v>0</v>
      </c>
      <c r="M153" s="14"/>
      <c r="N153" s="14">
        <f t="shared" si="18"/>
        <v>0</v>
      </c>
      <c r="O153" s="14"/>
      <c r="P153" s="14">
        <f t="shared" si="19"/>
        <v>0</v>
      </c>
      <c r="Q153" s="4"/>
    </row>
    <row r="154" spans="2:17" ht="23.1" customHeight="1" x14ac:dyDescent="0.15">
      <c r="D154" s="4"/>
      <c r="E154" s="4"/>
      <c r="F154" s="9"/>
      <c r="G154" s="7"/>
      <c r="H154" s="14"/>
      <c r="I154" s="14">
        <f t="shared" si="16"/>
        <v>0</v>
      </c>
      <c r="J154" s="14"/>
      <c r="K154" s="14"/>
      <c r="L154" s="14">
        <f t="shared" si="17"/>
        <v>0</v>
      </c>
      <c r="M154" s="14"/>
      <c r="N154" s="14">
        <f t="shared" si="18"/>
        <v>0</v>
      </c>
      <c r="O154" s="14"/>
      <c r="P154" s="14">
        <f t="shared" si="19"/>
        <v>0</v>
      </c>
      <c r="Q154" s="4"/>
    </row>
    <row r="155" spans="2:17" ht="23.1" customHeight="1" x14ac:dyDescent="0.15">
      <c r="D155" s="4"/>
      <c r="E155" s="4"/>
      <c r="F155" s="9"/>
      <c r="G155" s="7"/>
      <c r="H155" s="14"/>
      <c r="I155" s="14">
        <f t="shared" si="16"/>
        <v>0</v>
      </c>
      <c r="J155" s="14"/>
      <c r="K155" s="14"/>
      <c r="L155" s="14">
        <f t="shared" si="17"/>
        <v>0</v>
      </c>
      <c r="M155" s="14"/>
      <c r="N155" s="14">
        <f t="shared" si="18"/>
        <v>0</v>
      </c>
      <c r="O155" s="14"/>
      <c r="P155" s="14">
        <f t="shared" si="19"/>
        <v>0</v>
      </c>
      <c r="Q155" s="4"/>
    </row>
    <row r="156" spans="2:17" ht="23.1" customHeight="1" x14ac:dyDescent="0.15">
      <c r="D156" s="4"/>
      <c r="E156" s="4"/>
      <c r="F156" s="9"/>
      <c r="G156" s="7"/>
      <c r="H156" s="14"/>
      <c r="I156" s="14">
        <f t="shared" si="16"/>
        <v>0</v>
      </c>
      <c r="J156" s="14"/>
      <c r="K156" s="14"/>
      <c r="L156" s="14">
        <f t="shared" si="17"/>
        <v>0</v>
      </c>
      <c r="M156" s="14"/>
      <c r="N156" s="14">
        <f t="shared" si="18"/>
        <v>0</v>
      </c>
      <c r="O156" s="14"/>
      <c r="P156" s="14">
        <f t="shared" si="19"/>
        <v>0</v>
      </c>
      <c r="Q156" s="4"/>
    </row>
    <row r="157" spans="2:17" ht="23.1" customHeight="1" x14ac:dyDescent="0.15">
      <c r="D157" s="4"/>
      <c r="E157" s="4"/>
      <c r="F157" s="9"/>
      <c r="G157" s="7"/>
      <c r="H157" s="14"/>
      <c r="I157" s="14">
        <f t="shared" si="16"/>
        <v>0</v>
      </c>
      <c r="J157" s="14"/>
      <c r="K157" s="14"/>
      <c r="L157" s="14">
        <f t="shared" si="17"/>
        <v>0</v>
      </c>
      <c r="M157" s="14"/>
      <c r="N157" s="14">
        <f t="shared" si="18"/>
        <v>0</v>
      </c>
      <c r="O157" s="14"/>
      <c r="P157" s="14">
        <f t="shared" si="19"/>
        <v>0</v>
      </c>
      <c r="Q157" s="4"/>
    </row>
    <row r="158" spans="2:17" ht="23.1" customHeight="1" x14ac:dyDescent="0.15">
      <c r="D158" s="4"/>
      <c r="E158" s="4"/>
      <c r="F158" s="9"/>
      <c r="G158" s="7"/>
      <c r="H158" s="14"/>
      <c r="I158" s="14">
        <f t="shared" si="16"/>
        <v>0</v>
      </c>
      <c r="J158" s="14"/>
      <c r="K158" s="14"/>
      <c r="L158" s="14">
        <f t="shared" si="17"/>
        <v>0</v>
      </c>
      <c r="M158" s="14"/>
      <c r="N158" s="14">
        <f t="shared" si="18"/>
        <v>0</v>
      </c>
      <c r="O158" s="14"/>
      <c r="P158" s="14">
        <f t="shared" si="19"/>
        <v>0</v>
      </c>
      <c r="Q158" s="4"/>
    </row>
    <row r="159" spans="2:17" ht="23.1" customHeight="1" x14ac:dyDescent="0.15">
      <c r="B159" s="5" t="s">
        <v>342</v>
      </c>
      <c r="D159" s="4" t="s">
        <v>343</v>
      </c>
      <c r="E159" s="4"/>
      <c r="F159" s="9"/>
      <c r="G159" s="7"/>
      <c r="H159" s="14"/>
      <c r="I159" s="14">
        <f>TRUNC(SUM(I134:I158))</f>
        <v>0</v>
      </c>
      <c r="J159" s="14"/>
      <c r="K159" s="14"/>
      <c r="L159" s="14">
        <f>TRUNC(SUM(L134:L158))</f>
        <v>0</v>
      </c>
      <c r="M159" s="14"/>
      <c r="N159" s="14">
        <f>TRUNC(SUM(N134:N158))</f>
        <v>0</v>
      </c>
      <c r="O159" s="14"/>
      <c r="P159" s="14">
        <f>TRUNC(SUM(P134:P158))</f>
        <v>0</v>
      </c>
      <c r="Q159" s="4"/>
    </row>
    <row r="160" spans="2:17" ht="23.1" customHeight="1" x14ac:dyDescent="0.15">
      <c r="B160" s="5" t="s">
        <v>240</v>
      </c>
      <c r="D160" s="165" t="s">
        <v>367</v>
      </c>
      <c r="E160" s="166"/>
      <c r="F160" s="166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7"/>
    </row>
    <row r="161" spans="1:31" ht="23.1" customHeight="1" x14ac:dyDescent="0.15">
      <c r="A161" s="5" t="s">
        <v>368</v>
      </c>
      <c r="B161" s="5" t="s">
        <v>369</v>
      </c>
      <c r="C161" s="5" t="s">
        <v>370</v>
      </c>
      <c r="D161" s="4" t="s">
        <v>371</v>
      </c>
      <c r="E161" s="4" t="s">
        <v>223</v>
      </c>
      <c r="F161" s="9" t="s">
        <v>197</v>
      </c>
      <c r="G161" s="7">
        <v>52</v>
      </c>
      <c r="H161" s="14"/>
      <c r="I161" s="14"/>
      <c r="J161" s="14"/>
      <c r="K161" s="14"/>
      <c r="L161" s="14"/>
      <c r="M161" s="14"/>
      <c r="N161" s="14"/>
      <c r="O161" s="14"/>
      <c r="P161" s="14"/>
      <c r="Q161" s="3"/>
    </row>
    <row r="162" spans="1:31" ht="23.1" customHeight="1" x14ac:dyDescent="0.15">
      <c r="A162" s="5" t="s">
        <v>372</v>
      </c>
      <c r="B162" s="5" t="s">
        <v>369</v>
      </c>
      <c r="C162" s="5" t="s">
        <v>373</v>
      </c>
      <c r="D162" s="4" t="s">
        <v>374</v>
      </c>
      <c r="E162" s="4" t="s">
        <v>226</v>
      </c>
      <c r="F162" s="9" t="s">
        <v>197</v>
      </c>
      <c r="G162" s="7">
        <v>72</v>
      </c>
      <c r="H162" s="14"/>
      <c r="I162" s="14"/>
      <c r="J162" s="14"/>
      <c r="K162" s="14"/>
      <c r="L162" s="14"/>
      <c r="M162" s="14"/>
      <c r="N162" s="14"/>
      <c r="O162" s="14"/>
      <c r="P162" s="14"/>
      <c r="Q162" s="3"/>
    </row>
    <row r="163" spans="1:31" ht="23.1" customHeight="1" x14ac:dyDescent="0.15">
      <c r="A163" s="5" t="s">
        <v>375</v>
      </c>
      <c r="B163" s="5" t="s">
        <v>369</v>
      </c>
      <c r="C163" s="5" t="s">
        <v>376</v>
      </c>
      <c r="D163" s="4" t="s">
        <v>377</v>
      </c>
      <c r="E163" s="4" t="s">
        <v>229</v>
      </c>
      <c r="F163" s="9" t="s">
        <v>197</v>
      </c>
      <c r="G163" s="7">
        <v>8</v>
      </c>
      <c r="H163" s="14"/>
      <c r="I163" s="14"/>
      <c r="J163" s="14"/>
      <c r="K163" s="14"/>
      <c r="L163" s="14"/>
      <c r="M163" s="14"/>
      <c r="N163" s="14"/>
      <c r="O163" s="14"/>
      <c r="P163" s="14"/>
      <c r="Q163" s="3"/>
    </row>
    <row r="164" spans="1:31" ht="23.1" customHeight="1" x14ac:dyDescent="0.15">
      <c r="D164" s="4"/>
      <c r="E164" s="4"/>
      <c r="F164" s="9"/>
      <c r="G164" s="7"/>
      <c r="H164" s="14"/>
      <c r="I164" s="14"/>
      <c r="J164" s="14"/>
      <c r="K164" s="14"/>
      <c r="L164" s="14"/>
      <c r="M164" s="14"/>
      <c r="N164" s="14"/>
      <c r="O164" s="14"/>
      <c r="P164" s="14"/>
      <c r="Q164" s="4"/>
      <c r="AE164" s="13">
        <f>TRUNC(SUM(AE160:AE163))</f>
        <v>0</v>
      </c>
    </row>
    <row r="165" spans="1:31" ht="23.1" customHeight="1" x14ac:dyDescent="0.15">
      <c r="D165" s="4"/>
      <c r="E165" s="4"/>
      <c r="F165" s="9"/>
      <c r="G165" s="7"/>
      <c r="H165" s="14"/>
      <c r="I165" s="14"/>
      <c r="J165" s="14"/>
      <c r="K165" s="14"/>
      <c r="L165" s="14"/>
      <c r="M165" s="14"/>
      <c r="N165" s="14"/>
      <c r="O165" s="14"/>
      <c r="P165" s="14"/>
      <c r="Q165" s="4"/>
    </row>
    <row r="166" spans="1:31" ht="23.1" customHeight="1" x14ac:dyDescent="0.15">
      <c r="D166" s="4"/>
      <c r="E166" s="4"/>
      <c r="F166" s="9"/>
      <c r="G166" s="7"/>
      <c r="H166" s="14"/>
      <c r="I166" s="14"/>
      <c r="J166" s="14"/>
      <c r="K166" s="14"/>
      <c r="L166" s="14"/>
      <c r="M166" s="14"/>
      <c r="N166" s="14"/>
      <c r="O166" s="14"/>
      <c r="P166" s="14"/>
      <c r="Q166" s="4"/>
    </row>
    <row r="167" spans="1:31" ht="23.1" customHeight="1" x14ac:dyDescent="0.15">
      <c r="D167" s="4"/>
      <c r="E167" s="4"/>
      <c r="F167" s="9"/>
      <c r="G167" s="7"/>
      <c r="H167" s="14"/>
      <c r="I167" s="14"/>
      <c r="J167" s="14"/>
      <c r="K167" s="14"/>
      <c r="L167" s="14"/>
      <c r="M167" s="14"/>
      <c r="N167" s="14"/>
      <c r="O167" s="14"/>
      <c r="P167" s="14"/>
      <c r="Q167" s="4"/>
    </row>
    <row r="168" spans="1:31" ht="23.1" customHeight="1" x14ac:dyDescent="0.15">
      <c r="D168" s="4"/>
      <c r="E168" s="4"/>
      <c r="F168" s="9"/>
      <c r="G168" s="7"/>
      <c r="H168" s="14"/>
      <c r="I168" s="14"/>
      <c r="J168" s="14"/>
      <c r="K168" s="14"/>
      <c r="L168" s="14"/>
      <c r="M168" s="14"/>
      <c r="N168" s="14"/>
      <c r="O168" s="14"/>
      <c r="P168" s="14"/>
      <c r="Q168" s="4"/>
    </row>
    <row r="169" spans="1:31" ht="23.1" customHeight="1" x14ac:dyDescent="0.15">
      <c r="D169" s="4"/>
      <c r="E169" s="4"/>
      <c r="F169" s="9"/>
      <c r="G169" s="7"/>
      <c r="H169" s="14"/>
      <c r="I169" s="14"/>
      <c r="J169" s="14"/>
      <c r="K169" s="14"/>
      <c r="L169" s="14"/>
      <c r="M169" s="14"/>
      <c r="N169" s="14"/>
      <c r="O169" s="14"/>
      <c r="P169" s="14"/>
      <c r="Q169" s="4"/>
    </row>
    <row r="170" spans="1:31" ht="23.1" customHeight="1" x14ac:dyDescent="0.15">
      <c r="D170" s="4"/>
      <c r="E170" s="4"/>
      <c r="F170" s="9"/>
      <c r="G170" s="7"/>
      <c r="H170" s="14"/>
      <c r="I170" s="14"/>
      <c r="J170" s="14"/>
      <c r="K170" s="14"/>
      <c r="L170" s="14"/>
      <c r="M170" s="14"/>
      <c r="N170" s="14"/>
      <c r="O170" s="14"/>
      <c r="P170" s="14"/>
      <c r="Q170" s="4"/>
    </row>
    <row r="171" spans="1:31" ht="23.1" customHeight="1" x14ac:dyDescent="0.15">
      <c r="D171" s="4"/>
      <c r="E171" s="4"/>
      <c r="F171" s="9"/>
      <c r="G171" s="7"/>
      <c r="H171" s="14"/>
      <c r="I171" s="14"/>
      <c r="J171" s="14"/>
      <c r="K171" s="14"/>
      <c r="L171" s="14"/>
      <c r="M171" s="14"/>
      <c r="N171" s="14"/>
      <c r="O171" s="14"/>
      <c r="P171" s="14"/>
      <c r="Q171" s="4"/>
    </row>
    <row r="172" spans="1:31" ht="23.1" customHeight="1" x14ac:dyDescent="0.15">
      <c r="D172" s="4"/>
      <c r="E172" s="4"/>
      <c r="F172" s="9"/>
      <c r="G172" s="7"/>
      <c r="H172" s="14"/>
      <c r="I172" s="14"/>
      <c r="J172" s="14"/>
      <c r="K172" s="14"/>
      <c r="L172" s="14"/>
      <c r="M172" s="14"/>
      <c r="N172" s="14"/>
      <c r="O172" s="14"/>
      <c r="P172" s="14"/>
      <c r="Q172" s="4"/>
    </row>
    <row r="173" spans="1:31" ht="23.1" customHeight="1" x14ac:dyDescent="0.15">
      <c r="D173" s="4"/>
      <c r="E173" s="4"/>
      <c r="F173" s="9"/>
      <c r="G173" s="7"/>
      <c r="H173" s="14"/>
      <c r="I173" s="14">
        <f t="shared" ref="I161:I184" si="20">TRUNC(G173*H173)</f>
        <v>0</v>
      </c>
      <c r="J173" s="14"/>
      <c r="K173" s="14"/>
      <c r="L173" s="14">
        <f t="shared" ref="L161:L184" si="21">TRUNC(G173*K173)</f>
        <v>0</v>
      </c>
      <c r="M173" s="14"/>
      <c r="N173" s="14">
        <f t="shared" ref="N161:N184" si="22">TRUNC(G173*M173)</f>
        <v>0</v>
      </c>
      <c r="O173" s="14"/>
      <c r="P173" s="14">
        <f t="shared" ref="P161:P184" si="23">SUM(I173,L173,N173)</f>
        <v>0</v>
      </c>
      <c r="Q173" s="4"/>
    </row>
    <row r="174" spans="1:31" ht="23.1" customHeight="1" x14ac:dyDescent="0.15">
      <c r="D174" s="4"/>
      <c r="E174" s="4"/>
      <c r="F174" s="9"/>
      <c r="G174" s="7"/>
      <c r="H174" s="14"/>
      <c r="I174" s="14">
        <f t="shared" si="20"/>
        <v>0</v>
      </c>
      <c r="J174" s="14"/>
      <c r="K174" s="14"/>
      <c r="L174" s="14">
        <f t="shared" si="21"/>
        <v>0</v>
      </c>
      <c r="M174" s="14"/>
      <c r="N174" s="14">
        <f t="shared" si="22"/>
        <v>0</v>
      </c>
      <c r="O174" s="14"/>
      <c r="P174" s="14">
        <f t="shared" si="23"/>
        <v>0</v>
      </c>
      <c r="Q174" s="4"/>
    </row>
    <row r="175" spans="1:31" ht="23.1" customHeight="1" x14ac:dyDescent="0.15">
      <c r="D175" s="4"/>
      <c r="E175" s="4"/>
      <c r="F175" s="9"/>
      <c r="G175" s="7"/>
      <c r="H175" s="14"/>
      <c r="I175" s="14">
        <f t="shared" si="20"/>
        <v>0</v>
      </c>
      <c r="J175" s="14"/>
      <c r="K175" s="14"/>
      <c r="L175" s="14">
        <f t="shared" si="21"/>
        <v>0</v>
      </c>
      <c r="M175" s="14"/>
      <c r="N175" s="14">
        <f t="shared" si="22"/>
        <v>0</v>
      </c>
      <c r="O175" s="14"/>
      <c r="P175" s="14">
        <f t="shared" si="23"/>
        <v>0</v>
      </c>
      <c r="Q175" s="4"/>
    </row>
    <row r="176" spans="1:31" ht="23.1" customHeight="1" x14ac:dyDescent="0.15">
      <c r="D176" s="4"/>
      <c r="E176" s="4"/>
      <c r="F176" s="9"/>
      <c r="G176" s="7"/>
      <c r="H176" s="14"/>
      <c r="I176" s="14">
        <f t="shared" si="20"/>
        <v>0</v>
      </c>
      <c r="J176" s="14"/>
      <c r="K176" s="14"/>
      <c r="L176" s="14">
        <f t="shared" si="21"/>
        <v>0</v>
      </c>
      <c r="M176" s="14"/>
      <c r="N176" s="14">
        <f t="shared" si="22"/>
        <v>0</v>
      </c>
      <c r="O176" s="14"/>
      <c r="P176" s="14">
        <f t="shared" si="23"/>
        <v>0</v>
      </c>
      <c r="Q176" s="4"/>
    </row>
    <row r="177" spans="2:17" ht="23.1" customHeight="1" x14ac:dyDescent="0.15">
      <c r="D177" s="4"/>
      <c r="E177" s="4"/>
      <c r="F177" s="9"/>
      <c r="G177" s="7"/>
      <c r="H177" s="14"/>
      <c r="I177" s="14">
        <f t="shared" si="20"/>
        <v>0</v>
      </c>
      <c r="J177" s="14"/>
      <c r="K177" s="14"/>
      <c r="L177" s="14">
        <f t="shared" si="21"/>
        <v>0</v>
      </c>
      <c r="M177" s="14"/>
      <c r="N177" s="14">
        <f t="shared" si="22"/>
        <v>0</v>
      </c>
      <c r="O177" s="14"/>
      <c r="P177" s="14">
        <f t="shared" si="23"/>
        <v>0</v>
      </c>
      <c r="Q177" s="4"/>
    </row>
    <row r="178" spans="2:17" ht="23.1" customHeight="1" x14ac:dyDescent="0.15">
      <c r="D178" s="4"/>
      <c r="E178" s="4"/>
      <c r="F178" s="9"/>
      <c r="G178" s="7"/>
      <c r="H178" s="14"/>
      <c r="I178" s="14">
        <f t="shared" si="20"/>
        <v>0</v>
      </c>
      <c r="J178" s="14"/>
      <c r="K178" s="14"/>
      <c r="L178" s="14">
        <f t="shared" si="21"/>
        <v>0</v>
      </c>
      <c r="M178" s="14"/>
      <c r="N178" s="14">
        <f t="shared" si="22"/>
        <v>0</v>
      </c>
      <c r="O178" s="14"/>
      <c r="P178" s="14">
        <f t="shared" si="23"/>
        <v>0</v>
      </c>
      <c r="Q178" s="4"/>
    </row>
    <row r="179" spans="2:17" ht="23.1" customHeight="1" x14ac:dyDescent="0.15">
      <c r="D179" s="4"/>
      <c r="E179" s="4"/>
      <c r="F179" s="9"/>
      <c r="G179" s="7"/>
      <c r="H179" s="14"/>
      <c r="I179" s="14">
        <f t="shared" si="20"/>
        <v>0</v>
      </c>
      <c r="J179" s="14"/>
      <c r="K179" s="14"/>
      <c r="L179" s="14">
        <f t="shared" si="21"/>
        <v>0</v>
      </c>
      <c r="M179" s="14"/>
      <c r="N179" s="14">
        <f t="shared" si="22"/>
        <v>0</v>
      </c>
      <c r="O179" s="14"/>
      <c r="P179" s="14">
        <f t="shared" si="23"/>
        <v>0</v>
      </c>
      <c r="Q179" s="4"/>
    </row>
    <row r="180" spans="2:17" ht="23.1" customHeight="1" x14ac:dyDescent="0.15">
      <c r="D180" s="4"/>
      <c r="E180" s="4"/>
      <c r="F180" s="9"/>
      <c r="G180" s="7"/>
      <c r="H180" s="14"/>
      <c r="I180" s="14">
        <f t="shared" si="20"/>
        <v>0</v>
      </c>
      <c r="J180" s="14"/>
      <c r="K180" s="14"/>
      <c r="L180" s="14">
        <f t="shared" si="21"/>
        <v>0</v>
      </c>
      <c r="M180" s="14"/>
      <c r="N180" s="14">
        <f t="shared" si="22"/>
        <v>0</v>
      </c>
      <c r="O180" s="14"/>
      <c r="P180" s="14">
        <f t="shared" si="23"/>
        <v>0</v>
      </c>
      <c r="Q180" s="4"/>
    </row>
    <row r="181" spans="2:17" ht="23.1" customHeight="1" x14ac:dyDescent="0.15">
      <c r="D181" s="4"/>
      <c r="E181" s="4"/>
      <c r="F181" s="9"/>
      <c r="G181" s="7"/>
      <c r="H181" s="14"/>
      <c r="I181" s="14">
        <f t="shared" si="20"/>
        <v>0</v>
      </c>
      <c r="J181" s="14"/>
      <c r="K181" s="14"/>
      <c r="L181" s="14">
        <f t="shared" si="21"/>
        <v>0</v>
      </c>
      <c r="M181" s="14"/>
      <c r="N181" s="14">
        <f t="shared" si="22"/>
        <v>0</v>
      </c>
      <c r="O181" s="14"/>
      <c r="P181" s="14">
        <f t="shared" si="23"/>
        <v>0</v>
      </c>
      <c r="Q181" s="4"/>
    </row>
    <row r="182" spans="2:17" ht="23.1" customHeight="1" x14ac:dyDescent="0.15">
      <c r="D182" s="4"/>
      <c r="E182" s="4"/>
      <c r="F182" s="9"/>
      <c r="G182" s="7"/>
      <c r="H182" s="14"/>
      <c r="I182" s="14">
        <f t="shared" si="20"/>
        <v>0</v>
      </c>
      <c r="J182" s="14"/>
      <c r="K182" s="14"/>
      <c r="L182" s="14">
        <f t="shared" si="21"/>
        <v>0</v>
      </c>
      <c r="M182" s="14"/>
      <c r="N182" s="14">
        <f t="shared" si="22"/>
        <v>0</v>
      </c>
      <c r="O182" s="14"/>
      <c r="P182" s="14">
        <f t="shared" si="23"/>
        <v>0</v>
      </c>
      <c r="Q182" s="4"/>
    </row>
    <row r="183" spans="2:17" ht="23.1" customHeight="1" x14ac:dyDescent="0.15">
      <c r="D183" s="4"/>
      <c r="E183" s="4"/>
      <c r="F183" s="9"/>
      <c r="G183" s="7"/>
      <c r="H183" s="14"/>
      <c r="I183" s="14">
        <f t="shared" si="20"/>
        <v>0</v>
      </c>
      <c r="J183" s="14"/>
      <c r="K183" s="14"/>
      <c r="L183" s="14">
        <f t="shared" si="21"/>
        <v>0</v>
      </c>
      <c r="M183" s="14"/>
      <c r="N183" s="14">
        <f t="shared" si="22"/>
        <v>0</v>
      </c>
      <c r="O183" s="14"/>
      <c r="P183" s="14">
        <f t="shared" si="23"/>
        <v>0</v>
      </c>
      <c r="Q183" s="4"/>
    </row>
    <row r="184" spans="2:17" ht="23.1" customHeight="1" x14ac:dyDescent="0.15">
      <c r="D184" s="4"/>
      <c r="E184" s="4"/>
      <c r="F184" s="9"/>
      <c r="G184" s="7"/>
      <c r="H184" s="14"/>
      <c r="I184" s="14">
        <f t="shared" si="20"/>
        <v>0</v>
      </c>
      <c r="J184" s="14"/>
      <c r="K184" s="14"/>
      <c r="L184" s="14">
        <f t="shared" si="21"/>
        <v>0</v>
      </c>
      <c r="M184" s="14"/>
      <c r="N184" s="14">
        <f t="shared" si="22"/>
        <v>0</v>
      </c>
      <c r="O184" s="14"/>
      <c r="P184" s="14">
        <f t="shared" si="23"/>
        <v>0</v>
      </c>
      <c r="Q184" s="4"/>
    </row>
    <row r="185" spans="2:17" ht="23.1" customHeight="1" x14ac:dyDescent="0.15">
      <c r="B185" s="5" t="s">
        <v>342</v>
      </c>
      <c r="D185" s="4" t="s">
        <v>343</v>
      </c>
      <c r="E185" s="4"/>
      <c r="F185" s="9"/>
      <c r="G185" s="7"/>
      <c r="H185" s="14"/>
      <c r="I185" s="14">
        <f>TRUNC(SUM(I160:I184))</f>
        <v>0</v>
      </c>
      <c r="J185" s="14"/>
      <c r="K185" s="14"/>
      <c r="L185" s="14">
        <f>TRUNC(SUM(L160:L184))</f>
        <v>0</v>
      </c>
      <c r="M185" s="14"/>
      <c r="N185" s="14">
        <f>TRUNC(SUM(N160:N184))</f>
        <v>0</v>
      </c>
      <c r="O185" s="14"/>
      <c r="P185" s="14">
        <f>TRUNC(SUM(P160:P184))</f>
        <v>0</v>
      </c>
      <c r="Q185" s="4"/>
    </row>
  </sheetData>
  <mergeCells count="20">
    <mergeCell ref="D160:Q160"/>
    <mergeCell ref="D4:Q4"/>
    <mergeCell ref="D30:Q30"/>
    <mergeCell ref="D82:Q82"/>
    <mergeCell ref="D108:Q108"/>
    <mergeCell ref="D134:Q134"/>
    <mergeCell ref="A2:A3"/>
    <mergeCell ref="B2:B3"/>
    <mergeCell ref="C2:C3"/>
    <mergeCell ref="W1:Y1"/>
    <mergeCell ref="E2:E3"/>
    <mergeCell ref="D2:D3"/>
    <mergeCell ref="J2:L2"/>
    <mergeCell ref="M2:N2"/>
    <mergeCell ref="G2:G3"/>
    <mergeCell ref="H2:I2"/>
    <mergeCell ref="P2:P3"/>
    <mergeCell ref="F2:F3"/>
    <mergeCell ref="Q2:Q3"/>
    <mergeCell ref="D1:Q1"/>
  </mergeCells>
  <phoneticPr fontId="2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75" orientation="landscape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Views>
    <sheetView view="pageBreakPreview" topLeftCell="C1" zoomScaleNormal="100" zoomScaleSheetLayoutView="100" workbookViewId="0">
      <pane ySplit="3" topLeftCell="A4" activePane="bottomLeft" state="frozen"/>
      <selection activeCell="C1" sqref="C1:T1"/>
      <selection pane="bottomLeft" activeCell="C1" sqref="C1:T1"/>
    </sheetView>
  </sheetViews>
  <sheetFormatPr defaultColWidth="8.88671875" defaultRowHeight="21.6" customHeight="1" x14ac:dyDescent="0.15"/>
  <cols>
    <col min="1" max="1" width="5.21875" style="12" hidden="1" customWidth="1"/>
    <col min="2" max="2" width="8.77734375" style="5" hidden="1" customWidth="1"/>
    <col min="3" max="3" width="16.6640625" style="5" customWidth="1"/>
    <col min="4" max="4" width="24.33203125" style="5" customWidth="1"/>
    <col min="5" max="5" width="25.33203125" style="5" customWidth="1"/>
    <col min="6" max="6" width="4.77734375" style="8" customWidth="1"/>
    <col min="7" max="7" width="11.21875" style="1" customWidth="1"/>
    <col min="8" max="8" width="13.88671875" style="13" customWidth="1"/>
    <col min="9" max="9" width="11.6640625" style="13" customWidth="1"/>
    <col min="10" max="10" width="10" style="13" customWidth="1"/>
    <col min="11" max="11" width="7" style="13" customWidth="1"/>
    <col min="12" max="12" width="10.77734375" style="13" customWidth="1"/>
    <col min="13" max="13" width="10.77734375" style="1" customWidth="1"/>
    <col min="14" max="16384" width="8.88671875" style="1"/>
  </cols>
  <sheetData>
    <row r="1" spans="1:13" ht="21.6" customHeight="1" x14ac:dyDescent="0.15">
      <c r="A1" s="12" t="s">
        <v>238</v>
      </c>
      <c r="B1" s="5" t="s">
        <v>239</v>
      </c>
      <c r="C1" s="171" t="s">
        <v>388</v>
      </c>
      <c r="D1" s="171"/>
      <c r="E1" s="171"/>
      <c r="F1" s="171"/>
      <c r="G1" s="171"/>
      <c r="H1" s="171"/>
      <c r="I1" s="171"/>
      <c r="J1" s="171"/>
      <c r="K1" s="171"/>
      <c r="L1" s="171"/>
      <c r="M1" s="171"/>
    </row>
    <row r="2" spans="1:13" s="2" customFormat="1" ht="21.6" customHeight="1" x14ac:dyDescent="0.15">
      <c r="A2" s="6" t="s">
        <v>29</v>
      </c>
      <c r="B2" s="17" t="s">
        <v>30</v>
      </c>
      <c r="C2" s="159" t="s">
        <v>4</v>
      </c>
      <c r="D2" s="159" t="s">
        <v>33</v>
      </c>
      <c r="E2" s="159" t="s">
        <v>34</v>
      </c>
      <c r="F2" s="161" t="s">
        <v>0</v>
      </c>
      <c r="G2" s="161" t="s">
        <v>1</v>
      </c>
      <c r="H2" s="163" t="s">
        <v>8</v>
      </c>
      <c r="I2" s="163" t="s">
        <v>9</v>
      </c>
      <c r="J2" s="163" t="s">
        <v>10</v>
      </c>
      <c r="K2" s="163" t="s">
        <v>11</v>
      </c>
      <c r="L2" s="163" t="s">
        <v>3</v>
      </c>
      <c r="M2" s="161" t="s">
        <v>31</v>
      </c>
    </row>
    <row r="3" spans="1:13" ht="21.6" customHeight="1" x14ac:dyDescent="0.15">
      <c r="C3" s="172"/>
      <c r="D3" s="172"/>
      <c r="E3" s="172"/>
      <c r="F3" s="173"/>
      <c r="G3" s="170"/>
      <c r="H3" s="170"/>
      <c r="I3" s="170"/>
      <c r="J3" s="170"/>
      <c r="K3" s="170"/>
      <c r="L3" s="170"/>
      <c r="M3" s="170"/>
    </row>
    <row r="4" spans="1:13" ht="21.6" customHeight="1" x14ac:dyDescent="0.15">
      <c r="C4" s="4" t="s">
        <v>77</v>
      </c>
      <c r="D4" s="4" t="s">
        <v>78</v>
      </c>
      <c r="E4" s="4" t="s">
        <v>79</v>
      </c>
      <c r="F4" s="9" t="s">
        <v>80</v>
      </c>
      <c r="G4" s="7">
        <v>247.5</v>
      </c>
      <c r="H4" s="14" t="e">
        <f>TRUNC(#REF!*#REF!)</f>
        <v>#REF!</v>
      </c>
      <c r="I4" s="14"/>
      <c r="J4" s="14"/>
      <c r="K4" s="14"/>
      <c r="L4" s="14" t="e">
        <f t="shared" ref="L4:L35" si="0">SUM(H4,I4,J4)</f>
        <v>#REF!</v>
      </c>
      <c r="M4" s="7"/>
    </row>
    <row r="5" spans="1:13" ht="21.6" customHeight="1" x14ac:dyDescent="0.15">
      <c r="C5" s="4" t="s">
        <v>81</v>
      </c>
      <c r="D5" s="4" t="s">
        <v>78</v>
      </c>
      <c r="E5" s="4" t="s">
        <v>82</v>
      </c>
      <c r="F5" s="9" t="s">
        <v>80</v>
      </c>
      <c r="G5" s="7">
        <v>107.8</v>
      </c>
      <c r="H5" s="14" t="e">
        <f>TRUNC(#REF!*#REF!)</f>
        <v>#REF!</v>
      </c>
      <c r="I5" s="14"/>
      <c r="J5" s="14"/>
      <c r="K5" s="14"/>
      <c r="L5" s="14" t="e">
        <f t="shared" si="0"/>
        <v>#REF!</v>
      </c>
      <c r="M5" s="7"/>
    </row>
    <row r="6" spans="1:13" ht="21.6" customHeight="1" x14ac:dyDescent="0.15">
      <c r="C6" s="4" t="s">
        <v>83</v>
      </c>
      <c r="D6" s="4" t="s">
        <v>78</v>
      </c>
      <c r="E6" s="4" t="s">
        <v>84</v>
      </c>
      <c r="F6" s="9" t="s">
        <v>80</v>
      </c>
      <c r="G6" s="7">
        <v>3.3</v>
      </c>
      <c r="H6" s="14" t="e">
        <f>TRUNC(#REF!*#REF!)</f>
        <v>#REF!</v>
      </c>
      <c r="I6" s="14"/>
      <c r="J6" s="14"/>
      <c r="K6" s="14"/>
      <c r="L6" s="14" t="e">
        <f t="shared" si="0"/>
        <v>#REF!</v>
      </c>
      <c r="M6" s="7"/>
    </row>
    <row r="7" spans="1:13" ht="21.6" customHeight="1" x14ac:dyDescent="0.15">
      <c r="C7" s="4" t="s">
        <v>85</v>
      </c>
      <c r="D7" s="4" t="s">
        <v>86</v>
      </c>
      <c r="E7" s="4" t="s">
        <v>87</v>
      </c>
      <c r="F7" s="9" t="s">
        <v>80</v>
      </c>
      <c r="G7" s="7">
        <v>36.299999999999997</v>
      </c>
      <c r="H7" s="14" t="e">
        <f>TRUNC(#REF!*#REF!)</f>
        <v>#REF!</v>
      </c>
      <c r="I7" s="14"/>
      <c r="J7" s="14"/>
      <c r="K7" s="14"/>
      <c r="L7" s="14" t="e">
        <f t="shared" si="0"/>
        <v>#REF!</v>
      </c>
      <c r="M7" s="7"/>
    </row>
    <row r="8" spans="1:13" ht="21.6" customHeight="1" x14ac:dyDescent="0.15">
      <c r="C8" s="4" t="s">
        <v>88</v>
      </c>
      <c r="D8" s="4" t="s">
        <v>86</v>
      </c>
      <c r="E8" s="4" t="s">
        <v>89</v>
      </c>
      <c r="F8" s="9" t="s">
        <v>90</v>
      </c>
      <c r="G8" s="7">
        <v>60</v>
      </c>
      <c r="H8" s="14" t="e">
        <f>TRUNC(#REF!*#REF!)</f>
        <v>#REF!</v>
      </c>
      <c r="I8" s="14"/>
      <c r="J8" s="14"/>
      <c r="K8" s="14"/>
      <c r="L8" s="14" t="e">
        <f t="shared" si="0"/>
        <v>#REF!</v>
      </c>
      <c r="M8" s="7"/>
    </row>
    <row r="9" spans="1:13" ht="21.6" customHeight="1" x14ac:dyDescent="0.15">
      <c r="C9" s="4" t="s">
        <v>91</v>
      </c>
      <c r="D9" s="4" t="s">
        <v>86</v>
      </c>
      <c r="E9" s="4" t="s">
        <v>92</v>
      </c>
      <c r="F9" s="9" t="s">
        <v>90</v>
      </c>
      <c r="G9" s="7">
        <v>6</v>
      </c>
      <c r="H9" s="14" t="e">
        <f>TRUNC(#REF!*#REF!)</f>
        <v>#REF!</v>
      </c>
      <c r="I9" s="14"/>
      <c r="J9" s="14"/>
      <c r="K9" s="14"/>
      <c r="L9" s="14" t="e">
        <f t="shared" si="0"/>
        <v>#REF!</v>
      </c>
      <c r="M9" s="7"/>
    </row>
    <row r="10" spans="1:13" ht="21.6" customHeight="1" x14ac:dyDescent="0.15">
      <c r="C10" s="4" t="s">
        <v>93</v>
      </c>
      <c r="D10" s="4" t="s">
        <v>86</v>
      </c>
      <c r="E10" s="4" t="s">
        <v>94</v>
      </c>
      <c r="F10" s="9" t="s">
        <v>90</v>
      </c>
      <c r="G10" s="7">
        <v>4</v>
      </c>
      <c r="H10" s="14" t="e">
        <f>TRUNC(#REF!*#REF!)</f>
        <v>#REF!</v>
      </c>
      <c r="I10" s="14"/>
      <c r="J10" s="14"/>
      <c r="K10" s="14"/>
      <c r="L10" s="14" t="e">
        <f t="shared" si="0"/>
        <v>#REF!</v>
      </c>
      <c r="M10" s="7"/>
    </row>
    <row r="11" spans="1:13" ht="21.6" customHeight="1" x14ac:dyDescent="0.15">
      <c r="C11" s="4" t="s">
        <v>95</v>
      </c>
      <c r="D11" s="4" t="s">
        <v>86</v>
      </c>
      <c r="E11" s="4" t="s">
        <v>96</v>
      </c>
      <c r="F11" s="9" t="s">
        <v>90</v>
      </c>
      <c r="G11" s="7">
        <v>2</v>
      </c>
      <c r="H11" s="14" t="e">
        <f>TRUNC(#REF!*#REF!)</f>
        <v>#REF!</v>
      </c>
      <c r="I11" s="14"/>
      <c r="J11" s="14"/>
      <c r="K11" s="14"/>
      <c r="L11" s="14" t="e">
        <f t="shared" si="0"/>
        <v>#REF!</v>
      </c>
      <c r="M11" s="7"/>
    </row>
    <row r="12" spans="1:13" ht="21.6" customHeight="1" x14ac:dyDescent="0.15">
      <c r="C12" s="4" t="s">
        <v>97</v>
      </c>
      <c r="D12" s="4" t="s">
        <v>86</v>
      </c>
      <c r="E12" s="4" t="s">
        <v>98</v>
      </c>
      <c r="F12" s="9" t="s">
        <v>90</v>
      </c>
      <c r="G12" s="7">
        <v>6</v>
      </c>
      <c r="H12" s="14" t="e">
        <f>TRUNC(#REF!*#REF!)</f>
        <v>#REF!</v>
      </c>
      <c r="I12" s="14"/>
      <c r="J12" s="14"/>
      <c r="K12" s="14"/>
      <c r="L12" s="14" t="e">
        <f t="shared" si="0"/>
        <v>#REF!</v>
      </c>
      <c r="M12" s="7"/>
    </row>
    <row r="13" spans="1:13" ht="21.6" customHeight="1" x14ac:dyDescent="0.15">
      <c r="C13" s="4" t="s">
        <v>99</v>
      </c>
      <c r="D13" s="4" t="s">
        <v>86</v>
      </c>
      <c r="E13" s="4" t="s">
        <v>100</v>
      </c>
      <c r="F13" s="9" t="s">
        <v>80</v>
      </c>
      <c r="G13" s="7">
        <v>584.1</v>
      </c>
      <c r="H13" s="14" t="e">
        <f>TRUNC(#REF!*#REF!)</f>
        <v>#REF!</v>
      </c>
      <c r="I13" s="14"/>
      <c r="J13" s="14"/>
      <c r="K13" s="14"/>
      <c r="L13" s="14" t="e">
        <f t="shared" si="0"/>
        <v>#REF!</v>
      </c>
      <c r="M13" s="7"/>
    </row>
    <row r="14" spans="1:13" ht="21.6" customHeight="1" x14ac:dyDescent="0.15">
      <c r="C14" s="4" t="s">
        <v>101</v>
      </c>
      <c r="D14" s="4" t="s">
        <v>86</v>
      </c>
      <c r="E14" s="4" t="s">
        <v>102</v>
      </c>
      <c r="F14" s="9" t="s">
        <v>80</v>
      </c>
      <c r="G14" s="7">
        <v>9.9</v>
      </c>
      <c r="H14" s="14" t="e">
        <f>TRUNC(#REF!*#REF!)</f>
        <v>#REF!</v>
      </c>
      <c r="I14" s="14"/>
      <c r="J14" s="14"/>
      <c r="K14" s="14"/>
      <c r="L14" s="14" t="e">
        <f t="shared" si="0"/>
        <v>#REF!</v>
      </c>
      <c r="M14" s="7"/>
    </row>
    <row r="15" spans="1:13" ht="21.6" customHeight="1" x14ac:dyDescent="0.15">
      <c r="C15" s="4" t="s">
        <v>103</v>
      </c>
      <c r="D15" s="4" t="s">
        <v>86</v>
      </c>
      <c r="E15" s="4" t="s">
        <v>104</v>
      </c>
      <c r="F15" s="9" t="s">
        <v>80</v>
      </c>
      <c r="G15" s="7">
        <v>26.4</v>
      </c>
      <c r="H15" s="14" t="e">
        <f>TRUNC(#REF!*#REF!)</f>
        <v>#REF!</v>
      </c>
      <c r="I15" s="14"/>
      <c r="J15" s="14"/>
      <c r="K15" s="14"/>
      <c r="L15" s="14" t="e">
        <f t="shared" si="0"/>
        <v>#REF!</v>
      </c>
      <c r="M15" s="7"/>
    </row>
    <row r="16" spans="1:13" ht="21.6" customHeight="1" x14ac:dyDescent="0.15">
      <c r="C16" s="4" t="s">
        <v>105</v>
      </c>
      <c r="D16" s="4" t="s">
        <v>86</v>
      </c>
      <c r="E16" s="4" t="s">
        <v>106</v>
      </c>
      <c r="F16" s="9" t="s">
        <v>80</v>
      </c>
      <c r="G16" s="7">
        <v>33</v>
      </c>
      <c r="H16" s="14" t="e">
        <f>TRUNC(#REF!*#REF!)</f>
        <v>#REF!</v>
      </c>
      <c r="I16" s="14"/>
      <c r="J16" s="14"/>
      <c r="K16" s="14"/>
      <c r="L16" s="14" t="e">
        <f t="shared" si="0"/>
        <v>#REF!</v>
      </c>
      <c r="M16" s="7"/>
    </row>
    <row r="17" spans="3:13" ht="21.6" customHeight="1" x14ac:dyDescent="0.15">
      <c r="C17" s="4" t="s">
        <v>107</v>
      </c>
      <c r="D17" s="4" t="s">
        <v>108</v>
      </c>
      <c r="E17" s="4" t="s">
        <v>109</v>
      </c>
      <c r="F17" s="9" t="s">
        <v>90</v>
      </c>
      <c r="G17" s="7">
        <v>64</v>
      </c>
      <c r="H17" s="14" t="e">
        <f>TRUNC(#REF!*#REF!)</f>
        <v>#REF!</v>
      </c>
      <c r="I17" s="14"/>
      <c r="J17" s="14"/>
      <c r="K17" s="14"/>
      <c r="L17" s="14" t="e">
        <f t="shared" si="0"/>
        <v>#REF!</v>
      </c>
      <c r="M17" s="7"/>
    </row>
    <row r="18" spans="3:13" ht="21.6" customHeight="1" x14ac:dyDescent="0.15">
      <c r="C18" s="4" t="s">
        <v>110</v>
      </c>
      <c r="D18" s="4" t="s">
        <v>111</v>
      </c>
      <c r="E18" s="4" t="s">
        <v>112</v>
      </c>
      <c r="F18" s="9" t="s">
        <v>90</v>
      </c>
      <c r="G18" s="7">
        <v>77</v>
      </c>
      <c r="H18" s="14" t="e">
        <f>TRUNC(#REF!*#REF!)</f>
        <v>#REF!</v>
      </c>
      <c r="I18" s="14"/>
      <c r="J18" s="14"/>
      <c r="K18" s="14"/>
      <c r="L18" s="14" t="e">
        <f t="shared" si="0"/>
        <v>#REF!</v>
      </c>
      <c r="M18" s="7"/>
    </row>
    <row r="19" spans="3:13" ht="21.6" customHeight="1" x14ac:dyDescent="0.15">
      <c r="C19" s="4" t="s">
        <v>113</v>
      </c>
      <c r="D19" s="4" t="s">
        <v>114</v>
      </c>
      <c r="E19" s="4" t="s">
        <v>109</v>
      </c>
      <c r="F19" s="9" t="s">
        <v>90</v>
      </c>
      <c r="G19" s="7">
        <v>9</v>
      </c>
      <c r="H19" s="14" t="e">
        <f>TRUNC(#REF!*#REF!)</f>
        <v>#REF!</v>
      </c>
      <c r="I19" s="14"/>
      <c r="J19" s="14"/>
      <c r="K19" s="14"/>
      <c r="L19" s="14" t="e">
        <f t="shared" si="0"/>
        <v>#REF!</v>
      </c>
      <c r="M19" s="7"/>
    </row>
    <row r="20" spans="3:13" ht="21.6" customHeight="1" x14ac:dyDescent="0.15">
      <c r="C20" s="4" t="s">
        <v>115</v>
      </c>
      <c r="D20" s="4" t="s">
        <v>116</v>
      </c>
      <c r="E20" s="4" t="s">
        <v>117</v>
      </c>
      <c r="F20" s="9" t="s">
        <v>90</v>
      </c>
      <c r="G20" s="7">
        <v>7</v>
      </c>
      <c r="H20" s="14" t="e">
        <f>TRUNC(#REF!*#REF!)</f>
        <v>#REF!</v>
      </c>
      <c r="I20" s="14"/>
      <c r="J20" s="14"/>
      <c r="K20" s="14"/>
      <c r="L20" s="14" t="e">
        <f t="shared" si="0"/>
        <v>#REF!</v>
      </c>
      <c r="M20" s="7"/>
    </row>
    <row r="21" spans="3:13" ht="21.6" customHeight="1" x14ac:dyDescent="0.15">
      <c r="C21" s="4" t="s">
        <v>118</v>
      </c>
      <c r="D21" s="4" t="s">
        <v>116</v>
      </c>
      <c r="E21" s="4" t="s">
        <v>119</v>
      </c>
      <c r="F21" s="9" t="s">
        <v>90</v>
      </c>
      <c r="G21" s="7">
        <v>57</v>
      </c>
      <c r="H21" s="14" t="e">
        <f>TRUNC(#REF!*#REF!)</f>
        <v>#REF!</v>
      </c>
      <c r="I21" s="14"/>
      <c r="J21" s="14"/>
      <c r="K21" s="14"/>
      <c r="L21" s="14" t="e">
        <f t="shared" si="0"/>
        <v>#REF!</v>
      </c>
      <c r="M21" s="7"/>
    </row>
    <row r="22" spans="3:13" ht="21.6" customHeight="1" x14ac:dyDescent="0.15">
      <c r="C22" s="4" t="s">
        <v>120</v>
      </c>
      <c r="D22" s="4" t="s">
        <v>121</v>
      </c>
      <c r="E22" s="4" t="s">
        <v>122</v>
      </c>
      <c r="F22" s="9" t="s">
        <v>90</v>
      </c>
      <c r="G22" s="7">
        <v>16</v>
      </c>
      <c r="H22" s="14" t="e">
        <f>TRUNC(#REF!*#REF!)</f>
        <v>#REF!</v>
      </c>
      <c r="I22" s="14"/>
      <c r="J22" s="14"/>
      <c r="K22" s="14"/>
      <c r="L22" s="14" t="e">
        <f t="shared" si="0"/>
        <v>#REF!</v>
      </c>
      <c r="M22" s="7"/>
    </row>
    <row r="23" spans="3:13" ht="21.6" customHeight="1" x14ac:dyDescent="0.15">
      <c r="C23" s="4" t="s">
        <v>123</v>
      </c>
      <c r="D23" s="4" t="s">
        <v>121</v>
      </c>
      <c r="E23" s="4" t="s">
        <v>124</v>
      </c>
      <c r="F23" s="9" t="s">
        <v>90</v>
      </c>
      <c r="G23" s="7">
        <v>4</v>
      </c>
      <c r="H23" s="14" t="e">
        <f>TRUNC(#REF!*#REF!)</f>
        <v>#REF!</v>
      </c>
      <c r="I23" s="14"/>
      <c r="J23" s="14"/>
      <c r="K23" s="14"/>
      <c r="L23" s="14" t="e">
        <f t="shared" si="0"/>
        <v>#REF!</v>
      </c>
      <c r="M23" s="7"/>
    </row>
    <row r="24" spans="3:13" ht="21.6" customHeight="1" x14ac:dyDescent="0.15">
      <c r="C24" s="4" t="s">
        <v>125</v>
      </c>
      <c r="D24" s="4" t="s">
        <v>121</v>
      </c>
      <c r="E24" s="4" t="s">
        <v>126</v>
      </c>
      <c r="F24" s="9" t="s">
        <v>90</v>
      </c>
      <c r="G24" s="7">
        <v>8</v>
      </c>
      <c r="H24" s="14" t="e">
        <f>TRUNC(#REF!*#REF!)</f>
        <v>#REF!</v>
      </c>
      <c r="I24" s="14"/>
      <c r="J24" s="14"/>
      <c r="K24" s="14"/>
      <c r="L24" s="14" t="e">
        <f t="shared" si="0"/>
        <v>#REF!</v>
      </c>
      <c r="M24" s="7"/>
    </row>
    <row r="25" spans="3:13" ht="21.6" customHeight="1" x14ac:dyDescent="0.15">
      <c r="C25" s="4" t="s">
        <v>127</v>
      </c>
      <c r="D25" s="4" t="s">
        <v>121</v>
      </c>
      <c r="E25" s="4" t="s">
        <v>128</v>
      </c>
      <c r="F25" s="9" t="s">
        <v>90</v>
      </c>
      <c r="G25" s="7">
        <v>1</v>
      </c>
      <c r="H25" s="14" t="e">
        <f>TRUNC(#REF!*#REF!)</f>
        <v>#REF!</v>
      </c>
      <c r="I25" s="14"/>
      <c r="J25" s="14"/>
      <c r="K25" s="14"/>
      <c r="L25" s="14" t="e">
        <f t="shared" si="0"/>
        <v>#REF!</v>
      </c>
      <c r="M25" s="7"/>
    </row>
    <row r="26" spans="3:13" ht="21.6" customHeight="1" x14ac:dyDescent="0.15">
      <c r="C26" s="4" t="s">
        <v>129</v>
      </c>
      <c r="D26" s="4" t="s">
        <v>121</v>
      </c>
      <c r="E26" s="4" t="s">
        <v>130</v>
      </c>
      <c r="F26" s="9" t="s">
        <v>90</v>
      </c>
      <c r="G26" s="7">
        <v>1</v>
      </c>
      <c r="H26" s="14" t="e">
        <f>TRUNC(#REF!*#REF!)</f>
        <v>#REF!</v>
      </c>
      <c r="I26" s="14"/>
      <c r="J26" s="14"/>
      <c r="K26" s="14"/>
      <c r="L26" s="14" t="e">
        <f t="shared" si="0"/>
        <v>#REF!</v>
      </c>
      <c r="M26" s="7"/>
    </row>
    <row r="27" spans="3:13" ht="21.6" customHeight="1" x14ac:dyDescent="0.15">
      <c r="C27" s="4" t="s">
        <v>131</v>
      </c>
      <c r="D27" s="4" t="s">
        <v>132</v>
      </c>
      <c r="E27" s="4" t="s">
        <v>133</v>
      </c>
      <c r="F27" s="9" t="s">
        <v>80</v>
      </c>
      <c r="G27" s="7">
        <v>247.8</v>
      </c>
      <c r="H27" s="14" t="e">
        <f>TRUNC(#REF!*#REF!)</f>
        <v>#REF!</v>
      </c>
      <c r="I27" s="14"/>
      <c r="J27" s="14"/>
      <c r="K27" s="14"/>
      <c r="L27" s="14" t="e">
        <f t="shared" si="0"/>
        <v>#REF!</v>
      </c>
      <c r="M27" s="7"/>
    </row>
    <row r="28" spans="3:13" ht="21.6" customHeight="1" x14ac:dyDescent="0.15">
      <c r="C28" s="4" t="s">
        <v>134</v>
      </c>
      <c r="D28" s="4" t="s">
        <v>132</v>
      </c>
      <c r="E28" s="4" t="s">
        <v>135</v>
      </c>
      <c r="F28" s="9" t="s">
        <v>80</v>
      </c>
      <c r="G28" s="7">
        <v>92</v>
      </c>
      <c r="H28" s="14" t="e">
        <f>TRUNC(#REF!*#REF!)</f>
        <v>#REF!</v>
      </c>
      <c r="I28" s="14"/>
      <c r="J28" s="14"/>
      <c r="K28" s="14"/>
      <c r="L28" s="14" t="e">
        <f t="shared" si="0"/>
        <v>#REF!</v>
      </c>
      <c r="M28" s="7"/>
    </row>
    <row r="29" spans="3:13" ht="21.6" customHeight="1" x14ac:dyDescent="0.15">
      <c r="C29" s="4" t="s">
        <v>136</v>
      </c>
      <c r="D29" s="4" t="s">
        <v>132</v>
      </c>
      <c r="E29" s="4" t="s">
        <v>137</v>
      </c>
      <c r="F29" s="9" t="s">
        <v>90</v>
      </c>
      <c r="G29" s="7">
        <v>144</v>
      </c>
      <c r="H29" s="14" t="e">
        <f>TRUNC(#REF!*#REF!)</f>
        <v>#REF!</v>
      </c>
      <c r="I29" s="14"/>
      <c r="J29" s="14"/>
      <c r="K29" s="14"/>
      <c r="L29" s="14" t="e">
        <f t="shared" si="0"/>
        <v>#REF!</v>
      </c>
      <c r="M29" s="7"/>
    </row>
    <row r="30" spans="3:13" ht="21.6" customHeight="1" x14ac:dyDescent="0.15">
      <c r="C30" s="4" t="s">
        <v>138</v>
      </c>
      <c r="D30" s="4" t="s">
        <v>132</v>
      </c>
      <c r="E30" s="4" t="s">
        <v>139</v>
      </c>
      <c r="F30" s="9" t="s">
        <v>90</v>
      </c>
      <c r="G30" s="7">
        <v>11</v>
      </c>
      <c r="H30" s="14" t="e">
        <f>TRUNC(#REF!*#REF!)</f>
        <v>#REF!</v>
      </c>
      <c r="I30" s="14"/>
      <c r="J30" s="14"/>
      <c r="K30" s="14"/>
      <c r="L30" s="14" t="e">
        <f t="shared" si="0"/>
        <v>#REF!</v>
      </c>
      <c r="M30" s="7"/>
    </row>
    <row r="31" spans="3:13" ht="21.6" customHeight="1" x14ac:dyDescent="0.15">
      <c r="C31" s="4" t="s">
        <v>140</v>
      </c>
      <c r="D31" s="4" t="s">
        <v>132</v>
      </c>
      <c r="E31" s="4" t="s">
        <v>141</v>
      </c>
      <c r="F31" s="9" t="s">
        <v>90</v>
      </c>
      <c r="G31" s="7">
        <v>52</v>
      </c>
      <c r="H31" s="14" t="e">
        <f>TRUNC(#REF!*#REF!)</f>
        <v>#REF!</v>
      </c>
      <c r="I31" s="14"/>
      <c r="J31" s="14"/>
      <c r="K31" s="14"/>
      <c r="L31" s="14" t="e">
        <f t="shared" si="0"/>
        <v>#REF!</v>
      </c>
      <c r="M31" s="7"/>
    </row>
    <row r="32" spans="3:13" ht="21.6" customHeight="1" x14ac:dyDescent="0.15">
      <c r="C32" s="4" t="s">
        <v>142</v>
      </c>
      <c r="D32" s="4" t="s">
        <v>143</v>
      </c>
      <c r="E32" s="4" t="s">
        <v>144</v>
      </c>
      <c r="F32" s="9" t="s">
        <v>90</v>
      </c>
      <c r="G32" s="7">
        <v>13</v>
      </c>
      <c r="H32" s="14" t="e">
        <f>TRUNC(#REF!*#REF!)</f>
        <v>#REF!</v>
      </c>
      <c r="I32" s="14"/>
      <c r="J32" s="14"/>
      <c r="K32" s="14"/>
      <c r="L32" s="14" t="e">
        <f t="shared" si="0"/>
        <v>#REF!</v>
      </c>
      <c r="M32" s="7"/>
    </row>
    <row r="33" spans="3:13" ht="21.6" customHeight="1" x14ac:dyDescent="0.15">
      <c r="C33" s="4" t="s">
        <v>145</v>
      </c>
      <c r="D33" s="4" t="s">
        <v>143</v>
      </c>
      <c r="E33" s="4" t="s">
        <v>146</v>
      </c>
      <c r="F33" s="9" t="s">
        <v>90</v>
      </c>
      <c r="G33" s="7">
        <v>130</v>
      </c>
      <c r="H33" s="14" t="e">
        <f>TRUNC(#REF!*#REF!)</f>
        <v>#REF!</v>
      </c>
      <c r="I33" s="14"/>
      <c r="J33" s="14"/>
      <c r="K33" s="14"/>
      <c r="L33" s="14" t="e">
        <f t="shared" si="0"/>
        <v>#REF!</v>
      </c>
      <c r="M33" s="7"/>
    </row>
    <row r="34" spans="3:13" ht="21.6" customHeight="1" x14ac:dyDescent="0.15">
      <c r="C34" s="4" t="s">
        <v>147</v>
      </c>
      <c r="D34" s="4" t="s">
        <v>143</v>
      </c>
      <c r="E34" s="4" t="s">
        <v>148</v>
      </c>
      <c r="F34" s="9" t="s">
        <v>90</v>
      </c>
      <c r="G34" s="7">
        <v>13</v>
      </c>
      <c r="H34" s="14" t="e">
        <f>TRUNC(#REF!*#REF!)</f>
        <v>#REF!</v>
      </c>
      <c r="I34" s="14"/>
      <c r="J34" s="14"/>
      <c r="K34" s="14"/>
      <c r="L34" s="14" t="e">
        <f t="shared" si="0"/>
        <v>#REF!</v>
      </c>
      <c r="M34" s="7"/>
    </row>
    <row r="35" spans="3:13" ht="21.6" customHeight="1" x14ac:dyDescent="0.15">
      <c r="C35" s="4" t="s">
        <v>149</v>
      </c>
      <c r="D35" s="4" t="s">
        <v>150</v>
      </c>
      <c r="E35" s="4" t="s">
        <v>151</v>
      </c>
      <c r="F35" s="9" t="s">
        <v>80</v>
      </c>
      <c r="G35" s="7">
        <v>22.05</v>
      </c>
      <c r="H35" s="14" t="e">
        <f>TRUNC(#REF!*#REF!)</f>
        <v>#REF!</v>
      </c>
      <c r="I35" s="14"/>
      <c r="J35" s="14"/>
      <c r="K35" s="14"/>
      <c r="L35" s="14" t="e">
        <f t="shared" si="0"/>
        <v>#REF!</v>
      </c>
      <c r="M35" s="7"/>
    </row>
    <row r="36" spans="3:13" ht="21.6" customHeight="1" x14ac:dyDescent="0.15">
      <c r="C36" s="4" t="s">
        <v>152</v>
      </c>
      <c r="D36" s="4" t="s">
        <v>153</v>
      </c>
      <c r="E36" s="4" t="s">
        <v>154</v>
      </c>
      <c r="F36" s="9" t="s">
        <v>80</v>
      </c>
      <c r="G36" s="7">
        <v>12.6</v>
      </c>
      <c r="H36" s="14" t="e">
        <f>TRUNC(#REF!*#REF!)</f>
        <v>#REF!</v>
      </c>
      <c r="I36" s="14"/>
      <c r="J36" s="14"/>
      <c r="K36" s="14"/>
      <c r="L36" s="14" t="e">
        <f t="shared" ref="L36:L67" si="1">SUM(H36,I36,J36)</f>
        <v>#REF!</v>
      </c>
      <c r="M36" s="7"/>
    </row>
    <row r="37" spans="3:13" ht="21.6" customHeight="1" x14ac:dyDescent="0.15">
      <c r="C37" s="4" t="s">
        <v>155</v>
      </c>
      <c r="D37" s="4" t="s">
        <v>153</v>
      </c>
      <c r="E37" s="4" t="s">
        <v>156</v>
      </c>
      <c r="F37" s="9" t="s">
        <v>80</v>
      </c>
      <c r="G37" s="7">
        <v>2.1</v>
      </c>
      <c r="H37" s="14" t="e">
        <f>TRUNC(#REF!*#REF!)</f>
        <v>#REF!</v>
      </c>
      <c r="I37" s="14"/>
      <c r="J37" s="14"/>
      <c r="K37" s="14"/>
      <c r="L37" s="14" t="e">
        <f t="shared" si="1"/>
        <v>#REF!</v>
      </c>
      <c r="M37" s="7"/>
    </row>
    <row r="38" spans="3:13" ht="21.6" customHeight="1" x14ac:dyDescent="0.15">
      <c r="C38" s="4" t="s">
        <v>157</v>
      </c>
      <c r="D38" s="4" t="s">
        <v>158</v>
      </c>
      <c r="E38" s="4" t="s">
        <v>159</v>
      </c>
      <c r="F38" s="9" t="s">
        <v>90</v>
      </c>
      <c r="G38" s="7">
        <v>52</v>
      </c>
      <c r="H38" s="14" t="e">
        <f>TRUNC(#REF!*#REF!)</f>
        <v>#REF!</v>
      </c>
      <c r="I38" s="14"/>
      <c r="J38" s="14"/>
      <c r="K38" s="14"/>
      <c r="L38" s="14" t="e">
        <f t="shared" si="1"/>
        <v>#REF!</v>
      </c>
      <c r="M38" s="7"/>
    </row>
    <row r="39" spans="3:13" ht="21.6" customHeight="1" x14ac:dyDescent="0.15">
      <c r="C39" s="4" t="s">
        <v>160</v>
      </c>
      <c r="D39" s="4" t="s">
        <v>161</v>
      </c>
      <c r="E39" s="4" t="s">
        <v>162</v>
      </c>
      <c r="F39" s="9" t="s">
        <v>90</v>
      </c>
      <c r="G39" s="7">
        <v>52</v>
      </c>
      <c r="H39" s="14" t="e">
        <f>TRUNC(#REF!*#REF!)</f>
        <v>#REF!</v>
      </c>
      <c r="I39" s="14"/>
      <c r="J39" s="14"/>
      <c r="K39" s="14"/>
      <c r="L39" s="14" t="e">
        <f t="shared" si="1"/>
        <v>#REF!</v>
      </c>
      <c r="M39" s="7"/>
    </row>
    <row r="40" spans="3:13" ht="21.6" customHeight="1" x14ac:dyDescent="0.15">
      <c r="C40" s="4" t="s">
        <v>163</v>
      </c>
      <c r="D40" s="4" t="s">
        <v>164</v>
      </c>
      <c r="E40" s="4" t="s">
        <v>165</v>
      </c>
      <c r="F40" s="9" t="s">
        <v>80</v>
      </c>
      <c r="G40" s="7">
        <v>1332.1</v>
      </c>
      <c r="H40" s="14" t="e">
        <f>TRUNC(#REF!*#REF!)</f>
        <v>#REF!</v>
      </c>
      <c r="I40" s="14"/>
      <c r="J40" s="14"/>
      <c r="K40" s="14"/>
      <c r="L40" s="14" t="e">
        <f t="shared" si="1"/>
        <v>#REF!</v>
      </c>
      <c r="M40" s="7"/>
    </row>
    <row r="41" spans="3:13" ht="21.6" customHeight="1" x14ac:dyDescent="0.15">
      <c r="C41" s="4" t="s">
        <v>166</v>
      </c>
      <c r="D41" s="4" t="s">
        <v>164</v>
      </c>
      <c r="E41" s="4" t="s">
        <v>167</v>
      </c>
      <c r="F41" s="9" t="s">
        <v>80</v>
      </c>
      <c r="G41" s="7">
        <v>2805</v>
      </c>
      <c r="H41" s="14" t="e">
        <f>TRUNC(#REF!*#REF!)</f>
        <v>#REF!</v>
      </c>
      <c r="I41" s="14"/>
      <c r="J41" s="14"/>
      <c r="K41" s="14"/>
      <c r="L41" s="14" t="e">
        <f t="shared" si="1"/>
        <v>#REF!</v>
      </c>
      <c r="M41" s="7"/>
    </row>
    <row r="42" spans="3:13" ht="21.6" customHeight="1" x14ac:dyDescent="0.15">
      <c r="C42" s="4" t="s">
        <v>168</v>
      </c>
      <c r="D42" s="4" t="s">
        <v>169</v>
      </c>
      <c r="E42" s="4" t="s">
        <v>170</v>
      </c>
      <c r="F42" s="9" t="s">
        <v>80</v>
      </c>
      <c r="G42" s="7">
        <v>84.7</v>
      </c>
      <c r="H42" s="14" t="e">
        <f>TRUNC(#REF!*#REF!)</f>
        <v>#REF!</v>
      </c>
      <c r="I42" s="14"/>
      <c r="J42" s="14"/>
      <c r="K42" s="14"/>
      <c r="L42" s="14" t="e">
        <f t="shared" si="1"/>
        <v>#REF!</v>
      </c>
      <c r="M42" s="7"/>
    </row>
    <row r="43" spans="3:13" ht="21.6" customHeight="1" x14ac:dyDescent="0.15">
      <c r="C43" s="4" t="s">
        <v>171</v>
      </c>
      <c r="D43" s="4" t="s">
        <v>169</v>
      </c>
      <c r="E43" s="4" t="s">
        <v>172</v>
      </c>
      <c r="F43" s="9" t="s">
        <v>80</v>
      </c>
      <c r="G43" s="7">
        <v>127.6</v>
      </c>
      <c r="H43" s="14" t="e">
        <f>TRUNC(#REF!*#REF!)</f>
        <v>#REF!</v>
      </c>
      <c r="I43" s="14"/>
      <c r="J43" s="14"/>
      <c r="K43" s="14"/>
      <c r="L43" s="14" t="e">
        <f t="shared" si="1"/>
        <v>#REF!</v>
      </c>
      <c r="M43" s="7"/>
    </row>
    <row r="44" spans="3:13" ht="21.6" customHeight="1" x14ac:dyDescent="0.15">
      <c r="C44" s="4" t="s">
        <v>173</v>
      </c>
      <c r="D44" s="4" t="s">
        <v>174</v>
      </c>
      <c r="E44" s="4" t="s">
        <v>175</v>
      </c>
      <c r="F44" s="9" t="s">
        <v>80</v>
      </c>
      <c r="G44" s="7">
        <v>35.700000000000003</v>
      </c>
      <c r="H44" s="14" t="e">
        <f>TRUNC(#REF!*#REF!)</f>
        <v>#REF!</v>
      </c>
      <c r="I44" s="14"/>
      <c r="J44" s="14"/>
      <c r="K44" s="14"/>
      <c r="L44" s="14" t="e">
        <f t="shared" si="1"/>
        <v>#REF!</v>
      </c>
      <c r="M44" s="7"/>
    </row>
    <row r="45" spans="3:13" ht="21.6" customHeight="1" x14ac:dyDescent="0.15">
      <c r="C45" s="4" t="s">
        <v>176</v>
      </c>
      <c r="D45" s="4" t="s">
        <v>174</v>
      </c>
      <c r="E45" s="4" t="s">
        <v>177</v>
      </c>
      <c r="F45" s="9" t="s">
        <v>80</v>
      </c>
      <c r="G45" s="7">
        <v>46.2</v>
      </c>
      <c r="H45" s="14" t="e">
        <f>TRUNC(#REF!*#REF!)</f>
        <v>#REF!</v>
      </c>
      <c r="I45" s="14"/>
      <c r="J45" s="14"/>
      <c r="K45" s="14"/>
      <c r="L45" s="14" t="e">
        <f t="shared" si="1"/>
        <v>#REF!</v>
      </c>
      <c r="M45" s="7"/>
    </row>
    <row r="46" spans="3:13" ht="21.6" customHeight="1" x14ac:dyDescent="0.15">
      <c r="C46" s="4" t="s">
        <v>178</v>
      </c>
      <c r="D46" s="4" t="s">
        <v>179</v>
      </c>
      <c r="E46" s="4" t="s">
        <v>180</v>
      </c>
      <c r="F46" s="9" t="s">
        <v>90</v>
      </c>
      <c r="G46" s="7">
        <v>5</v>
      </c>
      <c r="H46" s="14" t="e">
        <f>TRUNC(#REF!*#REF!)</f>
        <v>#REF!</v>
      </c>
      <c r="I46" s="14"/>
      <c r="J46" s="14"/>
      <c r="K46" s="14"/>
      <c r="L46" s="14" t="e">
        <f t="shared" si="1"/>
        <v>#REF!</v>
      </c>
      <c r="M46" s="7"/>
    </row>
    <row r="47" spans="3:13" ht="21.6" customHeight="1" x14ac:dyDescent="0.15">
      <c r="C47" s="4" t="s">
        <v>181</v>
      </c>
      <c r="D47" s="4" t="s">
        <v>179</v>
      </c>
      <c r="E47" s="4" t="s">
        <v>182</v>
      </c>
      <c r="F47" s="9" t="s">
        <v>90</v>
      </c>
      <c r="G47" s="7">
        <v>2</v>
      </c>
      <c r="H47" s="14" t="e">
        <f>TRUNC(#REF!*#REF!)</f>
        <v>#REF!</v>
      </c>
      <c r="I47" s="14"/>
      <c r="J47" s="14"/>
      <c r="K47" s="14"/>
      <c r="L47" s="14" t="e">
        <f t="shared" si="1"/>
        <v>#REF!</v>
      </c>
      <c r="M47" s="7"/>
    </row>
    <row r="48" spans="3:13" ht="21.6" customHeight="1" x14ac:dyDescent="0.15">
      <c r="C48" s="4" t="s">
        <v>183</v>
      </c>
      <c r="D48" s="4" t="s">
        <v>179</v>
      </c>
      <c r="E48" s="4" t="s">
        <v>184</v>
      </c>
      <c r="F48" s="9" t="s">
        <v>90</v>
      </c>
      <c r="G48" s="7">
        <v>1</v>
      </c>
      <c r="H48" s="14" t="e">
        <f>TRUNC(#REF!*#REF!)</f>
        <v>#REF!</v>
      </c>
      <c r="I48" s="14"/>
      <c r="J48" s="14"/>
      <c r="K48" s="14"/>
      <c r="L48" s="14" t="e">
        <f t="shared" si="1"/>
        <v>#REF!</v>
      </c>
      <c r="M48" s="7"/>
    </row>
    <row r="49" spans="3:13" ht="21.6" customHeight="1" x14ac:dyDescent="0.15">
      <c r="C49" s="4" t="s">
        <v>185</v>
      </c>
      <c r="D49" s="4" t="s">
        <v>179</v>
      </c>
      <c r="E49" s="4" t="s">
        <v>186</v>
      </c>
      <c r="F49" s="9" t="s">
        <v>90</v>
      </c>
      <c r="G49" s="7">
        <v>1</v>
      </c>
      <c r="H49" s="14" t="e">
        <f>TRUNC(#REF!*#REF!)</f>
        <v>#REF!</v>
      </c>
      <c r="I49" s="14"/>
      <c r="J49" s="14"/>
      <c r="K49" s="14"/>
      <c r="L49" s="14" t="e">
        <f t="shared" si="1"/>
        <v>#REF!</v>
      </c>
      <c r="M49" s="7"/>
    </row>
    <row r="50" spans="3:13" ht="21.6" customHeight="1" x14ac:dyDescent="0.15">
      <c r="C50" s="4" t="s">
        <v>187</v>
      </c>
      <c r="D50" s="4" t="s">
        <v>188</v>
      </c>
      <c r="E50" s="4" t="s">
        <v>189</v>
      </c>
      <c r="F50" s="9" t="s">
        <v>90</v>
      </c>
      <c r="G50" s="7">
        <v>60</v>
      </c>
      <c r="H50" s="14" t="e">
        <f>TRUNC(#REF!*#REF!)</f>
        <v>#REF!</v>
      </c>
      <c r="I50" s="14"/>
      <c r="J50" s="14"/>
      <c r="K50" s="14"/>
      <c r="L50" s="14" t="e">
        <f t="shared" si="1"/>
        <v>#REF!</v>
      </c>
      <c r="M50" s="7"/>
    </row>
    <row r="51" spans="3:13" ht="21.6" customHeight="1" x14ac:dyDescent="0.15">
      <c r="C51" s="4" t="s">
        <v>190</v>
      </c>
      <c r="D51" s="4" t="s">
        <v>188</v>
      </c>
      <c r="E51" s="4" t="s">
        <v>191</v>
      </c>
      <c r="F51" s="9" t="s">
        <v>90</v>
      </c>
      <c r="G51" s="7">
        <v>4</v>
      </c>
      <c r="H51" s="14" t="e">
        <f>TRUNC(#REF!*#REF!)</f>
        <v>#REF!</v>
      </c>
      <c r="I51" s="14"/>
      <c r="J51" s="14"/>
      <c r="K51" s="14"/>
      <c r="L51" s="14" t="e">
        <f t="shared" si="1"/>
        <v>#REF!</v>
      </c>
      <c r="M51" s="7"/>
    </row>
    <row r="52" spans="3:13" ht="21.6" customHeight="1" x14ac:dyDescent="0.15">
      <c r="C52" s="4" t="s">
        <v>192</v>
      </c>
      <c r="D52" s="4" t="s">
        <v>188</v>
      </c>
      <c r="E52" s="4" t="s">
        <v>193</v>
      </c>
      <c r="F52" s="9" t="s">
        <v>90</v>
      </c>
      <c r="G52" s="7">
        <v>2</v>
      </c>
      <c r="H52" s="14" t="e">
        <f>TRUNC(#REF!*#REF!)</f>
        <v>#REF!</v>
      </c>
      <c r="I52" s="14"/>
      <c r="J52" s="14"/>
      <c r="K52" s="14"/>
      <c r="L52" s="14" t="e">
        <f t="shared" si="1"/>
        <v>#REF!</v>
      </c>
      <c r="M52" s="7"/>
    </row>
    <row r="53" spans="3:13" ht="21.6" customHeight="1" x14ac:dyDescent="0.15">
      <c r="C53" s="4" t="s">
        <v>194</v>
      </c>
      <c r="D53" s="4" t="s">
        <v>195</v>
      </c>
      <c r="E53" s="4" t="s">
        <v>196</v>
      </c>
      <c r="F53" s="9" t="s">
        <v>197</v>
      </c>
      <c r="G53" s="7">
        <v>2</v>
      </c>
      <c r="H53" s="14" t="e">
        <f>TRUNC(#REF!*#REF!)</f>
        <v>#REF!</v>
      </c>
      <c r="I53" s="14"/>
      <c r="J53" s="14"/>
      <c r="K53" s="14"/>
      <c r="L53" s="14" t="e">
        <f t="shared" si="1"/>
        <v>#REF!</v>
      </c>
      <c r="M53" s="7"/>
    </row>
    <row r="54" spans="3:13" ht="21.6" customHeight="1" x14ac:dyDescent="0.15">
      <c r="C54" s="4" t="s">
        <v>198</v>
      </c>
      <c r="D54" s="4" t="s">
        <v>199</v>
      </c>
      <c r="E54" s="4" t="s">
        <v>200</v>
      </c>
      <c r="F54" s="9" t="s">
        <v>90</v>
      </c>
      <c r="G54" s="7">
        <v>52</v>
      </c>
      <c r="H54" s="14" t="e">
        <f>TRUNC(#REF!*#REF!)</f>
        <v>#REF!</v>
      </c>
      <c r="I54" s="14"/>
      <c r="J54" s="14"/>
      <c r="K54" s="14"/>
      <c r="L54" s="14" t="e">
        <f t="shared" si="1"/>
        <v>#REF!</v>
      </c>
      <c r="M54" s="7"/>
    </row>
    <row r="55" spans="3:13" ht="21.6" customHeight="1" x14ac:dyDescent="0.15">
      <c r="C55" s="4" t="s">
        <v>201</v>
      </c>
      <c r="D55" s="4" t="s">
        <v>202</v>
      </c>
      <c r="E55" s="4" t="s">
        <v>203</v>
      </c>
      <c r="F55" s="9" t="s">
        <v>197</v>
      </c>
      <c r="G55" s="7">
        <v>49</v>
      </c>
      <c r="H55" s="14" t="e">
        <f>TRUNC(#REF!*#REF!)</f>
        <v>#REF!</v>
      </c>
      <c r="I55" s="14"/>
      <c r="J55" s="14"/>
      <c r="K55" s="14"/>
      <c r="L55" s="14" t="e">
        <f t="shared" si="1"/>
        <v>#REF!</v>
      </c>
      <c r="M55" s="7"/>
    </row>
    <row r="56" spans="3:13" ht="21.6" customHeight="1" x14ac:dyDescent="0.15">
      <c r="C56" s="4" t="s">
        <v>204</v>
      </c>
      <c r="D56" s="4" t="s">
        <v>205</v>
      </c>
      <c r="E56" s="4" t="s">
        <v>206</v>
      </c>
      <c r="F56" s="9" t="s">
        <v>80</v>
      </c>
      <c r="G56" s="7">
        <v>487.2</v>
      </c>
      <c r="H56" s="14" t="e">
        <f>TRUNC(#REF!*#REF!)</f>
        <v>#REF!</v>
      </c>
      <c r="I56" s="14"/>
      <c r="J56" s="14"/>
      <c r="K56" s="14"/>
      <c r="L56" s="14" t="e">
        <f t="shared" si="1"/>
        <v>#REF!</v>
      </c>
      <c r="M56" s="7"/>
    </row>
    <row r="57" spans="3:13" ht="21.6" customHeight="1" x14ac:dyDescent="0.15">
      <c r="C57" s="4" t="s">
        <v>201</v>
      </c>
      <c r="D57" s="4" t="s">
        <v>207</v>
      </c>
      <c r="E57" s="4" t="s">
        <v>208</v>
      </c>
      <c r="F57" s="9" t="s">
        <v>197</v>
      </c>
      <c r="G57" s="7">
        <v>13</v>
      </c>
      <c r="H57" s="14" t="e">
        <f>TRUNC(#REF!*#REF!)</f>
        <v>#REF!</v>
      </c>
      <c r="I57" s="14"/>
      <c r="J57" s="14"/>
      <c r="K57" s="14"/>
      <c r="L57" s="14" t="e">
        <f t="shared" si="1"/>
        <v>#REF!</v>
      </c>
      <c r="M57" s="7"/>
    </row>
    <row r="58" spans="3:13" ht="21.6" customHeight="1" x14ac:dyDescent="0.15">
      <c r="C58" s="4" t="s">
        <v>201</v>
      </c>
      <c r="D58" s="4" t="s">
        <v>209</v>
      </c>
      <c r="E58" s="4" t="s">
        <v>210</v>
      </c>
      <c r="F58" s="9" t="s">
        <v>211</v>
      </c>
      <c r="G58" s="7">
        <v>1</v>
      </c>
      <c r="H58" s="14" t="e">
        <f>TRUNC(#REF!*#REF!)</f>
        <v>#REF!</v>
      </c>
      <c r="I58" s="14"/>
      <c r="J58" s="14"/>
      <c r="K58" s="14"/>
      <c r="L58" s="14" t="e">
        <f t="shared" si="1"/>
        <v>#REF!</v>
      </c>
      <c r="M58" s="7"/>
    </row>
    <row r="59" spans="3:13" ht="21.6" customHeight="1" x14ac:dyDescent="0.15">
      <c r="C59" s="4" t="s">
        <v>201</v>
      </c>
      <c r="D59" s="4" t="s">
        <v>212</v>
      </c>
      <c r="E59" s="4" t="s">
        <v>213</v>
      </c>
      <c r="F59" s="9" t="s">
        <v>197</v>
      </c>
      <c r="G59" s="7">
        <v>43</v>
      </c>
      <c r="H59" s="14" t="e">
        <f>TRUNC(#REF!*#REF!)</f>
        <v>#REF!</v>
      </c>
      <c r="I59" s="14"/>
      <c r="J59" s="14"/>
      <c r="K59" s="14"/>
      <c r="L59" s="14" t="e">
        <f t="shared" si="1"/>
        <v>#REF!</v>
      </c>
      <c r="M59" s="7"/>
    </row>
    <row r="60" spans="3:13" ht="21.6" customHeight="1" x14ac:dyDescent="0.15">
      <c r="C60" s="4" t="s">
        <v>201</v>
      </c>
      <c r="D60" s="4" t="s">
        <v>214</v>
      </c>
      <c r="E60" s="4" t="s">
        <v>215</v>
      </c>
      <c r="F60" s="9" t="s">
        <v>197</v>
      </c>
      <c r="G60" s="7">
        <v>59</v>
      </c>
      <c r="H60" s="14" t="e">
        <f>TRUNC(#REF!*#REF!)</f>
        <v>#REF!</v>
      </c>
      <c r="I60" s="14"/>
      <c r="J60" s="14"/>
      <c r="K60" s="14"/>
      <c r="L60" s="14" t="e">
        <f t="shared" si="1"/>
        <v>#REF!</v>
      </c>
      <c r="M60" s="7"/>
    </row>
    <row r="61" spans="3:13" ht="21.6" customHeight="1" x14ac:dyDescent="0.15">
      <c r="C61" s="4" t="s">
        <v>201</v>
      </c>
      <c r="D61" s="4" t="s">
        <v>216</v>
      </c>
      <c r="E61" s="4" t="s">
        <v>217</v>
      </c>
      <c r="F61" s="9" t="s">
        <v>197</v>
      </c>
      <c r="G61" s="7">
        <v>10</v>
      </c>
      <c r="H61" s="14" t="e">
        <f>TRUNC(#REF!*#REF!)</f>
        <v>#REF!</v>
      </c>
      <c r="I61" s="14"/>
      <c r="J61" s="14"/>
      <c r="K61" s="14"/>
      <c r="L61" s="14" t="e">
        <f t="shared" si="1"/>
        <v>#REF!</v>
      </c>
      <c r="M61" s="7"/>
    </row>
    <row r="62" spans="3:13" ht="21.6" customHeight="1" x14ac:dyDescent="0.15">
      <c r="C62" s="4" t="s">
        <v>201</v>
      </c>
      <c r="D62" s="4" t="s">
        <v>218</v>
      </c>
      <c r="E62" s="4" t="s">
        <v>215</v>
      </c>
      <c r="F62" s="9" t="s">
        <v>197</v>
      </c>
      <c r="G62" s="7">
        <v>6</v>
      </c>
      <c r="H62" s="14" t="e">
        <f>TRUNC(#REF!*#REF!)</f>
        <v>#REF!</v>
      </c>
      <c r="I62" s="14"/>
      <c r="J62" s="14"/>
      <c r="K62" s="14"/>
      <c r="L62" s="14" t="e">
        <f t="shared" si="1"/>
        <v>#REF!</v>
      </c>
      <c r="M62" s="7"/>
    </row>
    <row r="63" spans="3:13" ht="21.6" customHeight="1" x14ac:dyDescent="0.15">
      <c r="C63" s="4" t="s">
        <v>201</v>
      </c>
      <c r="D63" s="4" t="s">
        <v>219</v>
      </c>
      <c r="E63" s="4" t="s">
        <v>220</v>
      </c>
      <c r="F63" s="9" t="s">
        <v>197</v>
      </c>
      <c r="G63" s="7">
        <v>15</v>
      </c>
      <c r="H63" s="14" t="e">
        <f>TRUNC(#REF!*#REF!)</f>
        <v>#REF!</v>
      </c>
      <c r="I63" s="14"/>
      <c r="J63" s="14"/>
      <c r="K63" s="14"/>
      <c r="L63" s="14" t="e">
        <f t="shared" si="1"/>
        <v>#REF!</v>
      </c>
      <c r="M63" s="7"/>
    </row>
    <row r="64" spans="3:13" ht="21.6" customHeight="1" x14ac:dyDescent="0.15">
      <c r="C64" s="4" t="s">
        <v>221</v>
      </c>
      <c r="D64" s="4" t="s">
        <v>222</v>
      </c>
      <c r="E64" s="4" t="s">
        <v>223</v>
      </c>
      <c r="F64" s="9" t="s">
        <v>197</v>
      </c>
      <c r="G64" s="7">
        <v>52</v>
      </c>
      <c r="H64" s="14" t="e">
        <f>TRUNC(#REF!*#REF!)</f>
        <v>#REF!</v>
      </c>
      <c r="I64" s="14"/>
      <c r="J64" s="14"/>
      <c r="K64" s="14"/>
      <c r="L64" s="14" t="e">
        <f t="shared" si="1"/>
        <v>#REF!</v>
      </c>
      <c r="M64" s="7"/>
    </row>
    <row r="65" spans="3:13" ht="21.6" customHeight="1" x14ac:dyDescent="0.15">
      <c r="C65" s="4" t="s">
        <v>224</v>
      </c>
      <c r="D65" s="4" t="s">
        <v>225</v>
      </c>
      <c r="E65" s="4" t="s">
        <v>226</v>
      </c>
      <c r="F65" s="9" t="s">
        <v>197</v>
      </c>
      <c r="G65" s="7">
        <v>72</v>
      </c>
      <c r="H65" s="14" t="e">
        <f>TRUNC(#REF!*#REF!)</f>
        <v>#REF!</v>
      </c>
      <c r="I65" s="14"/>
      <c r="J65" s="14"/>
      <c r="K65" s="14"/>
      <c r="L65" s="14" t="e">
        <f t="shared" si="1"/>
        <v>#REF!</v>
      </c>
      <c r="M65" s="7"/>
    </row>
    <row r="66" spans="3:13" ht="21.6" customHeight="1" x14ac:dyDescent="0.15">
      <c r="C66" s="4" t="s">
        <v>227</v>
      </c>
      <c r="D66" s="4" t="s">
        <v>228</v>
      </c>
      <c r="E66" s="4" t="s">
        <v>229</v>
      </c>
      <c r="F66" s="9" t="s">
        <v>197</v>
      </c>
      <c r="G66" s="7">
        <v>8</v>
      </c>
      <c r="H66" s="14" t="e">
        <f>TRUNC(#REF!*#REF!)</f>
        <v>#REF!</v>
      </c>
      <c r="I66" s="14"/>
      <c r="J66" s="14"/>
      <c r="K66" s="14"/>
      <c r="L66" s="14" t="e">
        <f t="shared" si="1"/>
        <v>#REF!</v>
      </c>
      <c r="M66" s="7"/>
    </row>
    <row r="67" spans="3:13" ht="21.6" customHeight="1" x14ac:dyDescent="0.15">
      <c r="C67" s="4" t="s">
        <v>230</v>
      </c>
      <c r="D67" s="4" t="s">
        <v>231</v>
      </c>
      <c r="E67" s="4" t="s">
        <v>232</v>
      </c>
      <c r="F67" s="9" t="s">
        <v>233</v>
      </c>
      <c r="G67" s="7">
        <v>256.21019999999999</v>
      </c>
      <c r="H67" s="14"/>
      <c r="I67" s="14" t="e">
        <f>TRUNC(#REF!)</f>
        <v>#REF!</v>
      </c>
      <c r="J67" s="14"/>
      <c r="K67" s="14"/>
      <c r="L67" s="14" t="e">
        <f t="shared" si="1"/>
        <v>#REF!</v>
      </c>
      <c r="M67" s="7"/>
    </row>
    <row r="68" spans="3:13" ht="21.6" customHeight="1" x14ac:dyDescent="0.15">
      <c r="C68" s="4" t="s">
        <v>234</v>
      </c>
      <c r="D68" s="4" t="s">
        <v>231</v>
      </c>
      <c r="E68" s="4" t="s">
        <v>235</v>
      </c>
      <c r="F68" s="9" t="s">
        <v>233</v>
      </c>
      <c r="G68" s="7">
        <v>18.779199999999999</v>
      </c>
      <c r="H68" s="14"/>
      <c r="I68" s="14" t="e">
        <f>TRUNC(#REF!)</f>
        <v>#REF!</v>
      </c>
      <c r="J68" s="14"/>
      <c r="K68" s="14"/>
      <c r="L68" s="14" t="e">
        <f t="shared" ref="L68:L81" si="2">SUM(H68,I68,J68)</f>
        <v>#REF!</v>
      </c>
      <c r="M68" s="7"/>
    </row>
    <row r="69" spans="3:13" ht="21.6" customHeight="1" x14ac:dyDescent="0.15">
      <c r="C69" s="4" t="s">
        <v>236</v>
      </c>
      <c r="D69" s="4" t="s">
        <v>231</v>
      </c>
      <c r="E69" s="4" t="s">
        <v>237</v>
      </c>
      <c r="F69" s="9" t="s">
        <v>233</v>
      </c>
      <c r="G69" s="7">
        <v>0.24</v>
      </c>
      <c r="H69" s="14"/>
      <c r="I69" s="14" t="e">
        <f>TRUNC(#REF!)</f>
        <v>#REF!</v>
      </c>
      <c r="J69" s="14"/>
      <c r="K69" s="14"/>
      <c r="L69" s="14" t="e">
        <f t="shared" si="2"/>
        <v>#REF!</v>
      </c>
      <c r="M69" s="7"/>
    </row>
    <row r="70" spans="3:13" ht="21.6" customHeight="1" x14ac:dyDescent="0.15">
      <c r="C70" s="4"/>
      <c r="D70" s="4"/>
      <c r="E70" s="4"/>
      <c r="F70" s="9"/>
      <c r="G70" s="7"/>
      <c r="H70" s="14"/>
      <c r="I70" s="14"/>
      <c r="J70" s="14"/>
      <c r="K70" s="14"/>
      <c r="L70" s="14">
        <f t="shared" si="2"/>
        <v>0</v>
      </c>
      <c r="M70" s="7"/>
    </row>
    <row r="71" spans="3:13" ht="21.6" customHeight="1" x14ac:dyDescent="0.15">
      <c r="C71" s="4"/>
      <c r="D71" s="4"/>
      <c r="E71" s="4"/>
      <c r="F71" s="9"/>
      <c r="G71" s="7"/>
      <c r="H71" s="14"/>
      <c r="I71" s="14"/>
      <c r="J71" s="14"/>
      <c r="K71" s="14"/>
      <c r="L71" s="14">
        <f t="shared" si="2"/>
        <v>0</v>
      </c>
      <c r="M71" s="7"/>
    </row>
    <row r="72" spans="3:13" ht="21.6" customHeight="1" x14ac:dyDescent="0.15">
      <c r="C72" s="4"/>
      <c r="D72" s="4"/>
      <c r="E72" s="4"/>
      <c r="F72" s="9"/>
      <c r="G72" s="7"/>
      <c r="H72" s="14"/>
      <c r="I72" s="14"/>
      <c r="J72" s="14"/>
      <c r="K72" s="14"/>
      <c r="L72" s="14">
        <f t="shared" si="2"/>
        <v>0</v>
      </c>
      <c r="M72" s="7"/>
    </row>
    <row r="73" spans="3:13" ht="21.6" customHeight="1" x14ac:dyDescent="0.15">
      <c r="C73" s="4"/>
      <c r="D73" s="4"/>
      <c r="E73" s="4"/>
      <c r="F73" s="9"/>
      <c r="G73" s="7"/>
      <c r="H73" s="14"/>
      <c r="I73" s="14"/>
      <c r="J73" s="14"/>
      <c r="K73" s="14"/>
      <c r="L73" s="14">
        <f t="shared" si="2"/>
        <v>0</v>
      </c>
      <c r="M73" s="7"/>
    </row>
    <row r="74" spans="3:13" ht="21.6" customHeight="1" x14ac:dyDescent="0.15">
      <c r="C74" s="4"/>
      <c r="D74" s="4"/>
      <c r="E74" s="4"/>
      <c r="F74" s="9"/>
      <c r="G74" s="7"/>
      <c r="H74" s="14"/>
      <c r="I74" s="14"/>
      <c r="J74" s="14"/>
      <c r="K74" s="14"/>
      <c r="L74" s="14">
        <f t="shared" si="2"/>
        <v>0</v>
      </c>
      <c r="M74" s="7"/>
    </row>
    <row r="75" spans="3:13" ht="21.6" customHeight="1" x14ac:dyDescent="0.15">
      <c r="C75" s="4"/>
      <c r="D75" s="4"/>
      <c r="E75" s="4"/>
      <c r="F75" s="9"/>
      <c r="G75" s="7"/>
      <c r="H75" s="14"/>
      <c r="I75" s="14"/>
      <c r="J75" s="14"/>
      <c r="K75" s="14"/>
      <c r="L75" s="14">
        <f t="shared" si="2"/>
        <v>0</v>
      </c>
      <c r="M75" s="7"/>
    </row>
    <row r="76" spans="3:13" ht="21.6" customHeight="1" x14ac:dyDescent="0.15">
      <c r="C76" s="4"/>
      <c r="D76" s="4"/>
      <c r="E76" s="4"/>
      <c r="F76" s="9"/>
      <c r="G76" s="7"/>
      <c r="H76" s="14"/>
      <c r="I76" s="14"/>
      <c r="J76" s="14"/>
      <c r="K76" s="14"/>
      <c r="L76" s="14">
        <f t="shared" si="2"/>
        <v>0</v>
      </c>
      <c r="M76" s="7"/>
    </row>
    <row r="77" spans="3:13" ht="21.6" customHeight="1" x14ac:dyDescent="0.15">
      <c r="C77" s="4"/>
      <c r="D77" s="4"/>
      <c r="E77" s="4"/>
      <c r="F77" s="9"/>
      <c r="G77" s="7"/>
      <c r="H77" s="14"/>
      <c r="I77" s="14"/>
      <c r="J77" s="14"/>
      <c r="K77" s="14"/>
      <c r="L77" s="14">
        <f t="shared" si="2"/>
        <v>0</v>
      </c>
      <c r="M77" s="7"/>
    </row>
    <row r="78" spans="3:13" ht="21.6" customHeight="1" x14ac:dyDescent="0.15">
      <c r="C78" s="4"/>
      <c r="D78" s="4"/>
      <c r="E78" s="4"/>
      <c r="F78" s="9"/>
      <c r="G78" s="7"/>
      <c r="H78" s="14"/>
      <c r="I78" s="14"/>
      <c r="J78" s="14"/>
      <c r="K78" s="14"/>
      <c r="L78" s="14">
        <f t="shared" si="2"/>
        <v>0</v>
      </c>
      <c r="M78" s="7"/>
    </row>
    <row r="79" spans="3:13" ht="21.6" customHeight="1" x14ac:dyDescent="0.15">
      <c r="C79" s="4"/>
      <c r="D79" s="4"/>
      <c r="E79" s="4"/>
      <c r="F79" s="9"/>
      <c r="G79" s="7"/>
      <c r="H79" s="14"/>
      <c r="I79" s="14"/>
      <c r="J79" s="14"/>
      <c r="K79" s="14"/>
      <c r="L79" s="14">
        <f t="shared" si="2"/>
        <v>0</v>
      </c>
      <c r="M79" s="7"/>
    </row>
    <row r="80" spans="3:13" ht="21.6" customHeight="1" x14ac:dyDescent="0.15">
      <c r="C80" s="4"/>
      <c r="D80" s="4"/>
      <c r="E80" s="4"/>
      <c r="F80" s="9"/>
      <c r="G80" s="7"/>
      <c r="H80" s="14"/>
      <c r="I80" s="14"/>
      <c r="J80" s="14"/>
      <c r="K80" s="14"/>
      <c r="L80" s="14">
        <f t="shared" si="2"/>
        <v>0</v>
      </c>
      <c r="M80" s="7"/>
    </row>
    <row r="81" spans="3:13" ht="21.6" customHeight="1" x14ac:dyDescent="0.15">
      <c r="C81" s="4"/>
      <c r="D81" s="4"/>
      <c r="E81" s="4"/>
      <c r="F81" s="9"/>
      <c r="G81" s="7"/>
      <c r="H81" s="14"/>
      <c r="I81" s="14"/>
      <c r="J81" s="14"/>
      <c r="K81" s="14"/>
      <c r="L81" s="14">
        <f t="shared" si="2"/>
        <v>0</v>
      </c>
      <c r="M81" s="7"/>
    </row>
  </sheetData>
  <mergeCells count="12">
    <mergeCell ref="H2:H3"/>
    <mergeCell ref="C1:M1"/>
    <mergeCell ref="L2:L3"/>
    <mergeCell ref="M2:M3"/>
    <mergeCell ref="K2:K3"/>
    <mergeCell ref="I2:I3"/>
    <mergeCell ref="J2:J3"/>
    <mergeCell ref="C2:C3"/>
    <mergeCell ref="D2:D3"/>
    <mergeCell ref="E2:E3"/>
    <mergeCell ref="F2:F3"/>
    <mergeCell ref="G2:G3"/>
  </mergeCells>
  <phoneticPr fontId="2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8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>
      <selection activeCell="C1" sqref="C1:T1"/>
    </sheetView>
  </sheetViews>
  <sheetFormatPr defaultRowHeight="18.95" customHeight="1" x14ac:dyDescent="0.15"/>
  <cols>
    <col min="1" max="1" width="4.6640625" style="11" customWidth="1"/>
    <col min="2" max="2" width="73" customWidth="1"/>
  </cols>
  <sheetData>
    <row r="1" spans="1:2" ht="20.25" x14ac:dyDescent="0.25">
      <c r="B1" s="10" t="s">
        <v>21</v>
      </c>
    </row>
    <row r="2" spans="1:2" ht="18.95" customHeight="1" x14ac:dyDescent="0.15">
      <c r="A2" s="11" t="s">
        <v>19</v>
      </c>
      <c r="B2" t="s">
        <v>44</v>
      </c>
    </row>
    <row r="3" spans="1:2" ht="18.95" customHeight="1" x14ac:dyDescent="0.15">
      <c r="B3" t="s">
        <v>45</v>
      </c>
    </row>
    <row r="4" spans="1:2" ht="18.95" customHeight="1" x14ac:dyDescent="0.15">
      <c r="A4" s="11" t="s">
        <v>24</v>
      </c>
      <c r="B4" t="s">
        <v>46</v>
      </c>
    </row>
    <row r="5" spans="1:2" ht="18.95" customHeight="1" x14ac:dyDescent="0.15">
      <c r="B5" t="s">
        <v>47</v>
      </c>
    </row>
    <row r="6" spans="1:2" ht="18.95" customHeight="1" x14ac:dyDescent="0.15">
      <c r="A6" s="11" t="s">
        <v>20</v>
      </c>
      <c r="B6" t="s">
        <v>48</v>
      </c>
    </row>
    <row r="7" spans="1:2" ht="18.95" customHeight="1" x14ac:dyDescent="0.15">
      <c r="A7" s="11" t="s">
        <v>22</v>
      </c>
      <c r="B7" t="s">
        <v>49</v>
      </c>
    </row>
    <row r="8" spans="1:2" ht="18.95" customHeight="1" x14ac:dyDescent="0.15">
      <c r="B8" t="s">
        <v>23</v>
      </c>
    </row>
    <row r="9" spans="1:2" ht="18.95" customHeight="1" x14ac:dyDescent="0.15">
      <c r="B9" t="s">
        <v>50</v>
      </c>
    </row>
    <row r="10" spans="1:2" ht="18.95" customHeight="1" x14ac:dyDescent="0.15">
      <c r="B10" t="s">
        <v>51</v>
      </c>
    </row>
    <row r="11" spans="1:2" ht="18.95" customHeight="1" x14ac:dyDescent="0.15">
      <c r="A11" s="11" t="s">
        <v>2</v>
      </c>
      <c r="B11" t="s">
        <v>52</v>
      </c>
    </row>
    <row r="12" spans="1:2" ht="18.95" customHeight="1" x14ac:dyDescent="0.15">
      <c r="A12" s="11" t="s">
        <v>25</v>
      </c>
      <c r="B12" t="s">
        <v>53</v>
      </c>
    </row>
    <row r="13" spans="1:2" ht="18.95" customHeight="1" x14ac:dyDescent="0.15">
      <c r="B13" t="s">
        <v>54</v>
      </c>
    </row>
    <row r="14" spans="1:2" ht="18.95" customHeight="1" x14ac:dyDescent="0.15">
      <c r="B14" t="s">
        <v>55</v>
      </c>
    </row>
    <row r="15" spans="1:2" ht="18.95" customHeight="1" x14ac:dyDescent="0.15">
      <c r="B15" t="s">
        <v>56</v>
      </c>
    </row>
    <row r="16" spans="1:2" ht="18.95" customHeight="1" x14ac:dyDescent="0.15">
      <c r="B16" t="s">
        <v>27</v>
      </c>
    </row>
    <row r="17" spans="1:2" ht="18.95" customHeight="1" x14ac:dyDescent="0.15">
      <c r="A17" s="11" t="s">
        <v>26</v>
      </c>
      <c r="B17" t="s">
        <v>57</v>
      </c>
    </row>
    <row r="18" spans="1:2" ht="18.95" customHeight="1" x14ac:dyDescent="0.15">
      <c r="A18" s="11" t="s">
        <v>58</v>
      </c>
      <c r="B18" s="16" t="s">
        <v>59</v>
      </c>
    </row>
    <row r="19" spans="1:2" ht="18.95" customHeight="1" x14ac:dyDescent="0.15">
      <c r="A19" s="11" t="s">
        <v>60</v>
      </c>
      <c r="B19" t="s">
        <v>61</v>
      </c>
    </row>
    <row r="20" spans="1:2" ht="18.95" customHeight="1" x14ac:dyDescent="0.15">
      <c r="A20" s="11" t="s">
        <v>65</v>
      </c>
      <c r="B20" t="s">
        <v>66</v>
      </c>
    </row>
    <row r="21" spans="1:2" ht="18.95" customHeight="1" x14ac:dyDescent="0.15">
      <c r="A21" s="11" t="s">
        <v>67</v>
      </c>
      <c r="B21" t="s">
        <v>62</v>
      </c>
    </row>
    <row r="33" spans="2:2" ht="18.95" customHeight="1" x14ac:dyDescent="0.15">
      <c r="B33" t="s">
        <v>63</v>
      </c>
    </row>
    <row r="34" spans="2:2" ht="18.95" customHeight="1" x14ac:dyDescent="0.15">
      <c r="B34" t="s">
        <v>64</v>
      </c>
    </row>
  </sheetData>
  <phoneticPr fontId="2" type="noConversion"/>
  <pageMargins left="0.75" right="0.75" top="1" bottom="1" header="0.5" footer="0.5"/>
  <pageSetup paperSize="9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6</vt:i4>
      </vt:variant>
    </vt:vector>
  </HeadingPairs>
  <TitlesOfParts>
    <vt:vector size="11" baseType="lpstr">
      <vt:lpstr>공사원가</vt:lpstr>
      <vt:lpstr>총괄표</vt:lpstr>
      <vt:lpstr>내역서</vt:lpstr>
      <vt:lpstr>합산자재</vt:lpstr>
      <vt:lpstr>사용설명</vt:lpstr>
      <vt:lpstr>공사원가!Print_Area</vt:lpstr>
      <vt:lpstr>내역서!Print_Area</vt:lpstr>
      <vt:lpstr>총괄표!Print_Area</vt:lpstr>
      <vt:lpstr>내역서!Print_Titles</vt:lpstr>
      <vt:lpstr>총괄표!Print_Titles</vt:lpstr>
      <vt:lpstr>합산자재!Print_Titles</vt:lpstr>
    </vt:vector>
  </TitlesOfParts>
  <Company>이지테크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이지테크</dc:creator>
  <cp:lastModifiedBy>USER</cp:lastModifiedBy>
  <cp:lastPrinted>2012-05-12T23:39:48Z</cp:lastPrinted>
  <dcterms:created xsi:type="dcterms:W3CDTF">2002-09-09T02:35:17Z</dcterms:created>
  <dcterms:modified xsi:type="dcterms:W3CDTF">2026-08-13T08:40:38Z</dcterms:modified>
</cp:coreProperties>
</file>