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공사 계약 관련\공사계약\공고문\"/>
    </mc:Choice>
  </mc:AlternateContent>
  <xr:revisionPtr revIDLastSave="0" documentId="13_ncr:1_{A33916F8-FEC9-4E22-A9DF-B2098D9631B8}" xr6:coauthVersionLast="36" xr6:coauthVersionMax="36" xr10:uidLastSave="{00000000-0000-0000-0000-000000000000}"/>
  <bookViews>
    <workbookView xWindow="0" yWindow="0" windowWidth="28770" windowHeight="7815" xr2:uid="{884D3A8F-39D4-4FF7-8344-3A161A379E0F}"/>
  </bookViews>
  <sheets>
    <sheet name="원가" sheetId="2" r:id="rId1"/>
    <sheet name="총괄표" sheetId="3" r:id="rId2"/>
    <sheet name="내역서" sheetId="4" r:id="rId3"/>
  </sheets>
  <externalReferences>
    <externalReference r:id="rId4"/>
  </externalReferences>
  <definedNames>
    <definedName name="_xlnm.Print_Area" localSheetId="2">내역서!$A$1:$Q$107</definedName>
    <definedName name="_xlnm.Print_Area" localSheetId="0">원가!$A$1:$E$37</definedName>
    <definedName name="_xlnm.Print_Area" localSheetId="1">총괄표!$A$1:$Q$55</definedName>
    <definedName name="_xlnm.Print_Titles" localSheetId="2">내역서!$1:$3</definedName>
    <definedName name="_xlnm.Print_Titles" localSheetId="1">총괄표!$1:$3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" i="4" l="1"/>
  <c r="AE3" i="4"/>
  <c r="G5" i="4"/>
  <c r="M5" i="4"/>
  <c r="N5" i="4"/>
  <c r="AA5" i="4"/>
  <c r="AC5" i="4"/>
  <c r="G6" i="4"/>
  <c r="M6" i="4"/>
  <c r="N7" i="4"/>
  <c r="G8" i="4"/>
  <c r="M8" i="4"/>
  <c r="N8" i="4"/>
  <c r="P8" i="4"/>
  <c r="AC8" i="4"/>
  <c r="G9" i="4"/>
  <c r="N9" i="4" s="1"/>
  <c r="P9" i="4"/>
  <c r="M9" i="4"/>
  <c r="AC9" i="4"/>
  <c r="G10" i="4"/>
  <c r="M10" i="4"/>
  <c r="N10" i="4"/>
  <c r="P10" i="4"/>
  <c r="G11" i="4"/>
  <c r="M11" i="4"/>
  <c r="G12" i="4"/>
  <c r="P12" i="4"/>
  <c r="M12" i="4"/>
  <c r="N12" i="4"/>
  <c r="G13" i="4"/>
  <c r="M13" i="4"/>
  <c r="G14" i="4"/>
  <c r="M14" i="4"/>
  <c r="N14" i="4"/>
  <c r="AC14" i="4"/>
  <c r="G15" i="4"/>
  <c r="M15" i="4"/>
  <c r="G16" i="4"/>
  <c r="M16" i="4"/>
  <c r="N16" i="4"/>
  <c r="AC16" i="4"/>
  <c r="G17" i="4"/>
  <c r="M17" i="4"/>
  <c r="G18" i="4"/>
  <c r="M18" i="4"/>
  <c r="N18" i="4"/>
  <c r="AC18" i="4"/>
  <c r="G19" i="4"/>
  <c r="M19" i="4"/>
  <c r="G20" i="4"/>
  <c r="M20" i="4"/>
  <c r="N20" i="4"/>
  <c r="G21" i="4"/>
  <c r="M21" i="4"/>
  <c r="G22" i="4"/>
  <c r="P22" i="4" s="1"/>
  <c r="M22" i="4"/>
  <c r="N22" i="4"/>
  <c r="G23" i="4"/>
  <c r="M23" i="4"/>
  <c r="N23" i="4"/>
  <c r="G24" i="4"/>
  <c r="N24" i="4" s="1"/>
  <c r="M24" i="4"/>
  <c r="G25" i="4"/>
  <c r="M25" i="4"/>
  <c r="N25" i="4"/>
  <c r="P25" i="4"/>
  <c r="G26" i="4"/>
  <c r="H26" i="4"/>
  <c r="J26" i="4"/>
  <c r="K26" i="4"/>
  <c r="M26" i="4"/>
  <c r="G27" i="4"/>
  <c r="I27" i="4"/>
  <c r="J27" i="4"/>
  <c r="K27" i="4"/>
  <c r="L27" i="4"/>
  <c r="M27" i="4"/>
  <c r="N27" i="4"/>
  <c r="P27" i="4"/>
  <c r="G28" i="4"/>
  <c r="H28" i="4"/>
  <c r="I28" i="4"/>
  <c r="J28" i="4"/>
  <c r="K28" i="4"/>
  <c r="M28" i="4"/>
  <c r="G29" i="4"/>
  <c r="L29" i="4" s="1"/>
  <c r="P29" i="4" s="1"/>
  <c r="I29" i="4"/>
  <c r="J29" i="4"/>
  <c r="K29" i="4"/>
  <c r="M29" i="4"/>
  <c r="N29" i="4"/>
  <c r="G30" i="4"/>
  <c r="N30" i="4" s="1"/>
  <c r="I30" i="4"/>
  <c r="J30" i="4"/>
  <c r="K30" i="4"/>
  <c r="M30" i="4"/>
  <c r="G31" i="4"/>
  <c r="I31" i="4"/>
  <c r="J31" i="4"/>
  <c r="K31" i="4"/>
  <c r="L31" i="4"/>
  <c r="M31" i="4"/>
  <c r="N31" i="4" s="1"/>
  <c r="G32" i="4"/>
  <c r="I32" i="4"/>
  <c r="J32" i="4"/>
  <c r="K32" i="4"/>
  <c r="L32" i="4"/>
  <c r="M32" i="4"/>
  <c r="N32" i="4"/>
  <c r="P32" i="4"/>
  <c r="G33" i="4"/>
  <c r="I33" i="4"/>
  <c r="J33" i="4"/>
  <c r="K33" i="4"/>
  <c r="M33" i="4"/>
  <c r="G34" i="4"/>
  <c r="N34" i="4"/>
  <c r="G35" i="4"/>
  <c r="G36" i="4"/>
  <c r="P36" i="4" s="1"/>
  <c r="N36" i="4"/>
  <c r="G37" i="4"/>
  <c r="N37" i="4"/>
  <c r="P37" i="4" s="1"/>
  <c r="G38" i="4"/>
  <c r="N38" i="4" s="1"/>
  <c r="P38" i="4"/>
  <c r="G39" i="4"/>
  <c r="N39" i="4"/>
  <c r="P39" i="4"/>
  <c r="G40" i="4"/>
  <c r="G41" i="4"/>
  <c r="N41" i="4"/>
  <c r="N42" i="4"/>
  <c r="N48" i="4"/>
  <c r="N49" i="4"/>
  <c r="N50" i="4"/>
  <c r="P50" i="4" s="1"/>
  <c r="I51" i="4"/>
  <c r="L51" i="4"/>
  <c r="N51" i="4"/>
  <c r="P51" i="4"/>
  <c r="I52" i="4"/>
  <c r="L52" i="4"/>
  <c r="N52" i="4"/>
  <c r="P52" i="4"/>
  <c r="I53" i="4"/>
  <c r="L53" i="4"/>
  <c r="N53" i="4"/>
  <c r="P53" i="4"/>
  <c r="I54" i="4"/>
  <c r="L54" i="4"/>
  <c r="N54" i="4"/>
  <c r="P54" i="4"/>
  <c r="G57" i="4"/>
  <c r="AA57" i="4"/>
  <c r="AC57" i="4"/>
  <c r="G58" i="4"/>
  <c r="G60" i="4"/>
  <c r="G61" i="4"/>
  <c r="AC61" i="4"/>
  <c r="G62" i="4"/>
  <c r="G63" i="4"/>
  <c r="G64" i="4"/>
  <c r="G65" i="4"/>
  <c r="P65" i="4" s="1"/>
  <c r="G66" i="4"/>
  <c r="G67" i="4"/>
  <c r="P67" i="4" s="1"/>
  <c r="G68" i="4"/>
  <c r="P68" i="4"/>
  <c r="G69" i="4"/>
  <c r="G70" i="4"/>
  <c r="P70" i="4"/>
  <c r="G71" i="4"/>
  <c r="G72" i="4"/>
  <c r="P72" i="4"/>
  <c r="G73" i="4"/>
  <c r="G74" i="4"/>
  <c r="G75" i="4"/>
  <c r="G76" i="4"/>
  <c r="P76" i="4" s="1"/>
  <c r="G77" i="4"/>
  <c r="G78" i="4"/>
  <c r="AC78" i="4"/>
  <c r="G79" i="4"/>
  <c r="P79" i="4"/>
  <c r="P84" i="4"/>
  <c r="I85" i="4"/>
  <c r="L85" i="4"/>
  <c r="N85" i="4"/>
  <c r="I86" i="4"/>
  <c r="L86" i="4"/>
  <c r="N86" i="4"/>
  <c r="P86" i="4"/>
  <c r="I87" i="4"/>
  <c r="P87" i="4" s="1"/>
  <c r="L87" i="4"/>
  <c r="N87" i="4"/>
  <c r="I88" i="4"/>
  <c r="L88" i="4"/>
  <c r="N88" i="4"/>
  <c r="P88" i="4"/>
  <c r="I89" i="4"/>
  <c r="P89" i="4" s="1"/>
  <c r="L89" i="4"/>
  <c r="N89" i="4"/>
  <c r="I90" i="4"/>
  <c r="L90" i="4"/>
  <c r="N90" i="4"/>
  <c r="I91" i="4"/>
  <c r="L91" i="4"/>
  <c r="N91" i="4"/>
  <c r="P91" i="4"/>
  <c r="I92" i="4"/>
  <c r="P92" i="4" s="1"/>
  <c r="L92" i="4"/>
  <c r="N92" i="4"/>
  <c r="I93" i="4"/>
  <c r="L93" i="4"/>
  <c r="N93" i="4"/>
  <c r="P93" i="4"/>
  <c r="I94" i="4"/>
  <c r="P94" i="4" s="1"/>
  <c r="L94" i="4"/>
  <c r="N94" i="4"/>
  <c r="I95" i="4"/>
  <c r="P95" i="4" s="1"/>
  <c r="L95" i="4"/>
  <c r="N95" i="4"/>
  <c r="I96" i="4"/>
  <c r="L96" i="4"/>
  <c r="N96" i="4"/>
  <c r="P96" i="4"/>
  <c r="I97" i="4"/>
  <c r="P97" i="4" s="1"/>
  <c r="L97" i="4"/>
  <c r="N97" i="4"/>
  <c r="I98" i="4"/>
  <c r="L98" i="4"/>
  <c r="N98" i="4"/>
  <c r="P98" i="4"/>
  <c r="I99" i="4"/>
  <c r="L99" i="4"/>
  <c r="N99" i="4"/>
  <c r="P99" i="4"/>
  <c r="I100" i="4"/>
  <c r="P100" i="4" s="1"/>
  <c r="L100" i="4"/>
  <c r="N100" i="4"/>
  <c r="I101" i="4"/>
  <c r="L101" i="4"/>
  <c r="N101" i="4"/>
  <c r="P101" i="4"/>
  <c r="I102" i="4"/>
  <c r="P102" i="4" s="1"/>
  <c r="L102" i="4"/>
  <c r="N102" i="4"/>
  <c r="I103" i="4"/>
  <c r="L103" i="4"/>
  <c r="N103" i="4"/>
  <c r="P103" i="4"/>
  <c r="I104" i="4"/>
  <c r="L104" i="4"/>
  <c r="N104" i="4"/>
  <c r="P104" i="4"/>
  <c r="I105" i="4"/>
  <c r="L105" i="4"/>
  <c r="N105" i="4"/>
  <c r="I106" i="4"/>
  <c r="L106" i="4"/>
  <c r="N106" i="4"/>
  <c r="P106" i="4"/>
  <c r="I6" i="3"/>
  <c r="P6" i="3" s="1"/>
  <c r="L6" i="3"/>
  <c r="N6" i="3"/>
  <c r="I7" i="3"/>
  <c r="L7" i="3"/>
  <c r="P7" i="3" s="1"/>
  <c r="N7" i="3"/>
  <c r="I8" i="3"/>
  <c r="L8" i="3"/>
  <c r="N8" i="3"/>
  <c r="P8" i="3"/>
  <c r="I9" i="3"/>
  <c r="P9" i="3" s="1"/>
  <c r="L9" i="3"/>
  <c r="N9" i="3"/>
  <c r="I10" i="3"/>
  <c r="P10" i="3" s="1"/>
  <c r="L10" i="3"/>
  <c r="N10" i="3"/>
  <c r="I11" i="3"/>
  <c r="P11" i="3" s="1"/>
  <c r="L11" i="3"/>
  <c r="N11" i="3"/>
  <c r="I12" i="3"/>
  <c r="L12" i="3"/>
  <c r="N12" i="3"/>
  <c r="P12" i="3"/>
  <c r="I13" i="3"/>
  <c r="L13" i="3"/>
  <c r="N13" i="3"/>
  <c r="P13" i="3"/>
  <c r="I14" i="3"/>
  <c r="P14" i="3" s="1"/>
  <c r="L14" i="3"/>
  <c r="N14" i="3"/>
  <c r="I15" i="3"/>
  <c r="P15" i="3" s="1"/>
  <c r="L15" i="3"/>
  <c r="N15" i="3"/>
  <c r="I16" i="3"/>
  <c r="P16" i="3" s="1"/>
  <c r="L16" i="3"/>
  <c r="N16" i="3"/>
  <c r="I17" i="3"/>
  <c r="L17" i="3"/>
  <c r="N17" i="3"/>
  <c r="P17" i="3"/>
  <c r="I18" i="3"/>
  <c r="L18" i="3"/>
  <c r="N18" i="3"/>
  <c r="P18" i="3"/>
  <c r="I19" i="3"/>
  <c r="P19" i="3" s="1"/>
  <c r="L19" i="3"/>
  <c r="N19" i="3"/>
  <c r="I20" i="3"/>
  <c r="P20" i="3" s="1"/>
  <c r="L20" i="3"/>
  <c r="N20" i="3"/>
  <c r="I21" i="3"/>
  <c r="P21" i="3" s="1"/>
  <c r="L21" i="3"/>
  <c r="N21" i="3"/>
  <c r="I22" i="3"/>
  <c r="L22" i="3"/>
  <c r="N22" i="3"/>
  <c r="P22" i="3"/>
  <c r="I23" i="3"/>
  <c r="L23" i="3"/>
  <c r="N23" i="3"/>
  <c r="P23" i="3"/>
  <c r="I24" i="3"/>
  <c r="P24" i="3" s="1"/>
  <c r="L24" i="3"/>
  <c r="N24" i="3"/>
  <c r="I25" i="3"/>
  <c r="P25" i="3" s="1"/>
  <c r="L25" i="3"/>
  <c r="N25" i="3"/>
  <c r="I26" i="3"/>
  <c r="P26" i="3" s="1"/>
  <c r="L26" i="3"/>
  <c r="N26" i="3"/>
  <c r="I27" i="3"/>
  <c r="L27" i="3"/>
  <c r="N27" i="3"/>
  <c r="P27" i="3"/>
  <c r="I28" i="3"/>
  <c r="L28" i="3"/>
  <c r="N28" i="3"/>
  <c r="P28" i="3"/>
  <c r="N34" i="3"/>
  <c r="P34" i="3" s="1"/>
  <c r="I35" i="3"/>
  <c r="L35" i="3"/>
  <c r="P35" i="3" s="1"/>
  <c r="N35" i="3"/>
  <c r="I36" i="3"/>
  <c r="L36" i="3"/>
  <c r="N36" i="3"/>
  <c r="P36" i="3"/>
  <c r="I37" i="3"/>
  <c r="L37" i="3"/>
  <c r="N37" i="3"/>
  <c r="P37" i="3"/>
  <c r="I38" i="3"/>
  <c r="L38" i="3"/>
  <c r="N38" i="3"/>
  <c r="P38" i="3"/>
  <c r="I39" i="3"/>
  <c r="P39" i="3" s="1"/>
  <c r="L39" i="3"/>
  <c r="N39" i="3"/>
  <c r="I40" i="3"/>
  <c r="L40" i="3"/>
  <c r="P40" i="3" s="1"/>
  <c r="N40" i="3"/>
  <c r="I41" i="3"/>
  <c r="L41" i="3"/>
  <c r="N41" i="3"/>
  <c r="P41" i="3"/>
  <c r="I42" i="3"/>
  <c r="L42" i="3"/>
  <c r="N42" i="3"/>
  <c r="P42" i="3"/>
  <c r="I43" i="3"/>
  <c r="L43" i="3"/>
  <c r="N43" i="3"/>
  <c r="P43" i="3"/>
  <c r="I44" i="3"/>
  <c r="P44" i="3" s="1"/>
  <c r="L44" i="3"/>
  <c r="N44" i="3"/>
  <c r="I45" i="3"/>
  <c r="L45" i="3"/>
  <c r="P45" i="3" s="1"/>
  <c r="N45" i="3"/>
  <c r="I46" i="3"/>
  <c r="L46" i="3"/>
  <c r="N46" i="3"/>
  <c r="P46" i="3"/>
  <c r="I47" i="3"/>
  <c r="L47" i="3"/>
  <c r="N47" i="3"/>
  <c r="P47" i="3"/>
  <c r="I48" i="3"/>
  <c r="L48" i="3"/>
  <c r="N48" i="3"/>
  <c r="P48" i="3"/>
  <c r="I49" i="3"/>
  <c r="P49" i="3" s="1"/>
  <c r="L49" i="3"/>
  <c r="N49" i="3"/>
  <c r="I50" i="3"/>
  <c r="L50" i="3"/>
  <c r="N50" i="3"/>
  <c r="P50" i="3" s="1"/>
  <c r="I51" i="3"/>
  <c r="L51" i="3"/>
  <c r="N51" i="3"/>
  <c r="P51" i="3"/>
  <c r="I52" i="3"/>
  <c r="L52" i="3"/>
  <c r="N52" i="3"/>
  <c r="P52" i="3"/>
  <c r="I53" i="3"/>
  <c r="L53" i="3"/>
  <c r="N53" i="3"/>
  <c r="P53" i="3"/>
  <c r="I54" i="3"/>
  <c r="P54" i="3" s="1"/>
  <c r="L54" i="3"/>
  <c r="N54" i="3"/>
  <c r="P34" i="4" l="1"/>
  <c r="P77" i="4"/>
  <c r="P63" i="4"/>
  <c r="P33" i="4"/>
  <c r="AC66" i="4"/>
  <c r="L30" i="4"/>
  <c r="P30" i="4" s="1"/>
  <c r="P15" i="4"/>
  <c r="P66" i="4"/>
  <c r="P62" i="4"/>
  <c r="P31" i="4"/>
  <c r="P19" i="4"/>
  <c r="P85" i="4"/>
  <c r="L28" i="4"/>
  <c r="P28" i="4" s="1"/>
  <c r="N28" i="4"/>
  <c r="AC28" i="4"/>
  <c r="N19" i="4"/>
  <c r="AC19" i="4"/>
  <c r="P105" i="4"/>
  <c r="N15" i="4"/>
  <c r="AC15" i="4"/>
  <c r="P60" i="4"/>
  <c r="P6" i="4"/>
  <c r="P49" i="4"/>
  <c r="P73" i="4"/>
  <c r="P75" i="4"/>
  <c r="P69" i="4"/>
  <c r="P5" i="4"/>
  <c r="AC60" i="4"/>
  <c r="AC26" i="4"/>
  <c r="L26" i="4"/>
  <c r="N26" i="4"/>
  <c r="AC23" i="4"/>
  <c r="P13" i="4"/>
  <c r="P90" i="4"/>
  <c r="N13" i="4"/>
  <c r="N33" i="4"/>
  <c r="L33" i="4"/>
  <c r="P21" i="4"/>
  <c r="N21" i="4"/>
  <c r="N6" i="4"/>
  <c r="AA6" i="4"/>
  <c r="AA7" i="4" s="1"/>
  <c r="AC6" i="4"/>
  <c r="P23" i="4"/>
  <c r="N17" i="4"/>
  <c r="P17" i="4"/>
  <c r="AC17" i="4"/>
  <c r="AC42" i="4" s="1"/>
  <c r="P78" i="4"/>
  <c r="N35" i="4"/>
  <c r="P35" i="4" s="1"/>
  <c r="N11" i="4"/>
  <c r="N40" i="4"/>
  <c r="P40" i="4" s="1"/>
  <c r="AA58" i="4"/>
  <c r="AA59" i="4" s="1"/>
  <c r="P59" i="4" s="1"/>
  <c r="AC58" i="4"/>
  <c r="AC80" i="4" s="1"/>
  <c r="P57" i="4"/>
  <c r="P24" i="4"/>
  <c r="P61" i="4"/>
  <c r="P41" i="4"/>
  <c r="P20" i="4"/>
  <c r="P18" i="4"/>
  <c r="P16" i="4"/>
  <c r="P14" i="4"/>
  <c r="P74" i="4"/>
  <c r="P7" i="4" l="1"/>
  <c r="AD42" i="4"/>
  <c r="P42" i="4" s="1"/>
  <c r="P26" i="4"/>
  <c r="P58" i="4"/>
  <c r="AD80" i="4"/>
  <c r="P80" i="4" s="1"/>
  <c r="P71" i="4"/>
  <c r="P11" i="4"/>
  <c r="P64" i="4"/>
  <c r="G46" i="4" l="1"/>
  <c r="G47" i="4"/>
  <c r="G82" i="4"/>
  <c r="AE82" i="4" l="1"/>
  <c r="P82" i="4"/>
  <c r="AE47" i="4"/>
  <c r="N47" i="4"/>
  <c r="AE46" i="4"/>
  <c r="N46" i="4"/>
  <c r="P46" i="4"/>
  <c r="G45" i="4" l="1"/>
  <c r="G44" i="4"/>
  <c r="P47" i="4"/>
  <c r="G43" i="4"/>
  <c r="G81" i="4" l="1"/>
  <c r="N43" i="4"/>
  <c r="N44" i="4"/>
  <c r="AE44" i="4"/>
  <c r="AE45" i="4"/>
  <c r="N45" i="4"/>
  <c r="N55" i="4" l="1"/>
  <c r="N31" i="3" s="1"/>
  <c r="P45" i="4"/>
  <c r="P44" i="4"/>
  <c r="AE43" i="4"/>
  <c r="AE49" i="4" s="1"/>
  <c r="AC49" i="4" s="1"/>
  <c r="L55" i="4"/>
  <c r="AD49" i="4"/>
  <c r="P48" i="4" s="1"/>
  <c r="P43" i="4"/>
  <c r="N107" i="4"/>
  <c r="N32" i="3" s="1"/>
  <c r="I55" i="4" l="1"/>
  <c r="P81" i="4"/>
  <c r="P31" i="3"/>
  <c r="P55" i="4"/>
  <c r="AE81" i="4"/>
  <c r="AE84" i="4" s="1"/>
  <c r="AC84" i="4" s="1"/>
  <c r="L107" i="4"/>
  <c r="L55" i="3" s="1"/>
  <c r="L29" i="3" s="1"/>
  <c r="AD84" i="4"/>
  <c r="P83" i="4" s="1"/>
  <c r="N55" i="3"/>
  <c r="N5" i="3" s="1"/>
  <c r="N29" i="3" s="1"/>
  <c r="I107" i="4" l="1"/>
  <c r="P107" i="4"/>
  <c r="P32" i="3" l="1"/>
  <c r="P55" i="3" s="1"/>
  <c r="I55" i="3"/>
  <c r="I29" i="3" l="1"/>
  <c r="P5" i="3"/>
  <c r="P29" i="3" s="1"/>
</calcChain>
</file>

<file path=xl/sharedStrings.xml><?xml version="1.0" encoding="utf-8"?>
<sst xmlns="http://schemas.openxmlformats.org/spreadsheetml/2006/main" count="575" uniqueCount="311">
  <si>
    <t>( 총      계 )</t>
    <phoneticPr fontId="4" type="noConversion"/>
  </si>
  <si>
    <t xml:space="preserve"> </t>
    <phoneticPr fontId="4" type="noConversion"/>
  </si>
  <si>
    <t>부 가 가 치 세</t>
    <phoneticPr fontId="4" type="noConversion"/>
  </si>
  <si>
    <t>순계약금액 * 0.26477%</t>
  </si>
  <si>
    <t>공사손해보험료</t>
  </si>
  <si>
    <t>( 총  원  가 )</t>
    <phoneticPr fontId="4" type="noConversion"/>
  </si>
  <si>
    <t>(노무+경비+일반관리비) * 15 %</t>
  </si>
  <si>
    <t>이          윤</t>
    <phoneticPr fontId="4" type="noConversion"/>
  </si>
  <si>
    <t>(재료+노무+경비) * 8 %</t>
  </si>
  <si>
    <t>일 반 관 리 비</t>
    <phoneticPr fontId="4" type="noConversion"/>
  </si>
  <si>
    <t>( 순 공 사 비 계 )</t>
    <phoneticPr fontId="4" type="noConversion"/>
  </si>
  <si>
    <t>( 소      계 )</t>
    <phoneticPr fontId="4" type="noConversion"/>
  </si>
  <si>
    <t>비</t>
    <phoneticPr fontId="4" type="noConversion"/>
  </si>
  <si>
    <t>사</t>
    <phoneticPr fontId="4" type="noConversion"/>
  </si>
  <si>
    <t>(노무비) * 0.096 %</t>
  </si>
  <si>
    <t>법 정 분 담 금</t>
    <phoneticPr fontId="4" type="noConversion"/>
  </si>
  <si>
    <t>(재료+노무) * 4.831 %(수도광열비포함)</t>
  </si>
  <si>
    <t>기  타  경  비</t>
    <phoneticPr fontId="4" type="noConversion"/>
  </si>
  <si>
    <t>경</t>
    <phoneticPr fontId="4" type="noConversion"/>
  </si>
  <si>
    <t>(재료+직노+관급재/1.1) * 3.11 %</t>
  </si>
  <si>
    <t>안 전 관 리 비</t>
    <phoneticPr fontId="4" type="noConversion"/>
  </si>
  <si>
    <t>공</t>
    <phoneticPr fontId="4" type="noConversion"/>
  </si>
  <si>
    <t>(노무비) * 1.01 %</t>
  </si>
  <si>
    <t>고 용 보 험 료</t>
    <phoneticPr fontId="4" type="noConversion"/>
  </si>
  <si>
    <t>(노무비) * 3.56 %</t>
  </si>
  <si>
    <t>산 재 보 험 료</t>
    <phoneticPr fontId="4" type="noConversion"/>
  </si>
  <si>
    <t>(직접 노무비) * 17.5 %</t>
  </si>
  <si>
    <t>간 접 노 무 비</t>
    <phoneticPr fontId="4" type="noConversion"/>
  </si>
  <si>
    <t>직 접 노 무 비</t>
    <phoneticPr fontId="4" type="noConversion"/>
  </si>
  <si>
    <t>노 무 비</t>
    <phoneticPr fontId="4" type="noConversion"/>
  </si>
  <si>
    <t>순</t>
    <phoneticPr fontId="4" type="noConversion"/>
  </si>
  <si>
    <t>간 접 재 료 비</t>
    <phoneticPr fontId="4" type="noConversion"/>
  </si>
  <si>
    <t>직 접 재 료 비</t>
    <phoneticPr fontId="4" type="noConversion"/>
  </si>
  <si>
    <t>재 료 비</t>
    <phoneticPr fontId="4" type="noConversion"/>
  </si>
  <si>
    <t>금액</t>
    <phoneticPr fontId="4" type="noConversion"/>
  </si>
  <si>
    <t>수량</t>
    <phoneticPr fontId="4" type="noConversion"/>
  </si>
  <si>
    <t>구  성  비</t>
    <phoneticPr fontId="4" type="noConversion"/>
  </si>
  <si>
    <t>금 액</t>
    <phoneticPr fontId="4" type="noConversion"/>
  </si>
  <si>
    <t>구  분</t>
    <phoneticPr fontId="4" type="noConversion"/>
  </si>
  <si>
    <t>비 목</t>
    <phoneticPr fontId="4" type="noConversion"/>
  </si>
  <si>
    <t>공사기간: 1 개월 미만</t>
    <phoneticPr fontId="4" type="noConversion"/>
  </si>
  <si>
    <t>전남고등학교 AI팩토리(미래교실) 구축사업(전기)</t>
  </si>
  <si>
    <t>공사명:</t>
    <phoneticPr fontId="4" type="noConversion"/>
  </si>
  <si>
    <t>원 가 계 산 서</t>
    <phoneticPr fontId="4" type="noConversion"/>
  </si>
  <si>
    <t>( 합       계 )</t>
  </si>
  <si>
    <t>Total</t>
  </si>
  <si>
    <t>001</t>
  </si>
  <si>
    <t>식</t>
  </si>
  <si>
    <t>1-2.전등설비공사</t>
  </si>
  <si>
    <t>00102</t>
  </si>
  <si>
    <t>1-1.전열설비공사</t>
  </si>
  <si>
    <t>00101</t>
  </si>
  <si>
    <t>1.전기공사</t>
  </si>
  <si>
    <t>공종줄</t>
  </si>
  <si>
    <t>[전남고등학교 AI팩토리(미래교실) 구축사업(전]</t>
  </si>
  <si>
    <t>단가</t>
    <phoneticPr fontId="4" type="noConversion"/>
  </si>
  <si>
    <t>비고</t>
    <phoneticPr fontId="4" type="noConversion"/>
  </si>
  <si>
    <t>계</t>
    <phoneticPr fontId="4" type="noConversion"/>
  </si>
  <si>
    <t>경비</t>
    <phoneticPr fontId="4" type="noConversion"/>
  </si>
  <si>
    <t>노무비</t>
    <phoneticPr fontId="4" type="noConversion"/>
  </si>
  <si>
    <t>재료비</t>
    <phoneticPr fontId="4" type="noConversion"/>
  </si>
  <si>
    <t>단위</t>
    <phoneticPr fontId="4" type="noConversion"/>
  </si>
  <si>
    <t>규격</t>
    <phoneticPr fontId="4" type="noConversion"/>
  </si>
  <si>
    <t>공   종   명</t>
    <phoneticPr fontId="4" type="noConversion"/>
  </si>
  <si>
    <t>…</t>
    <phoneticPr fontId="4" type="noConversion"/>
  </si>
  <si>
    <t>공종코드</t>
    <phoneticPr fontId="4" type="noConversion"/>
  </si>
  <si>
    <t>번호</t>
    <phoneticPr fontId="4" type="noConversion"/>
  </si>
  <si>
    <t>연속견적가로형식</t>
  </si>
  <si>
    <t>[ 전남고등학교 AI팩토리(미래교실) 구축사업(전 ]</t>
  </si>
  <si>
    <t>2.0</t>
  </si>
  <si>
    <t>55</t>
  </si>
  <si>
    <t>총줄수-&gt;</t>
  </si>
  <si>
    <t>합계줄</t>
  </si>
  <si>
    <t>노임계</t>
  </si>
  <si>
    <t>노무비의 3 %</t>
  </si>
  <si>
    <t>[ 공 구 손 료 ]</t>
  </si>
  <si>
    <t>RENT000000000006</t>
  </si>
  <si>
    <t>A0300000000</t>
  </si>
  <si>
    <t>인</t>
  </si>
  <si>
    <t>보통인부</t>
  </si>
  <si>
    <t>노 무 비</t>
  </si>
  <si>
    <t>L001010101000002</t>
  </si>
  <si>
    <t>56900017041</t>
  </si>
  <si>
    <t>내선전공</t>
  </si>
  <si>
    <t>L001010101000075</t>
  </si>
  <si>
    <t>56900017016</t>
  </si>
  <si>
    <t>전선, 전선관의 2 %</t>
  </si>
  <si>
    <t>[ 소모 잡자재 ]</t>
  </si>
  <si>
    <t>RENT000000000003</t>
  </si>
  <si>
    <t>A0100000000</t>
  </si>
  <si>
    <t>철거자재</t>
  </si>
  <si>
    <t>EA</t>
  </si>
  <si>
    <t>스위치 철거</t>
  </si>
  <si>
    <t>391115ZZ701Z0017</t>
  </si>
  <si>
    <t>MM064852304</t>
  </si>
  <si>
    <t>노임적용</t>
    <phoneticPr fontId="4" type="noConversion"/>
  </si>
  <si>
    <t>m</t>
  </si>
  <si>
    <t>배관용 홈파기</t>
  </si>
  <si>
    <t>391115ZZ701Z0013</t>
  </si>
  <si>
    <t>MM064790182</t>
  </si>
  <si>
    <t>기존 LED 평판등 철거</t>
  </si>
  <si>
    <t>391115ZZ701Z0009</t>
  </si>
  <si>
    <t>MM064790197</t>
  </si>
  <si>
    <t>KS,고효율</t>
  </si>
  <si>
    <t>LED 8W T5(0.5M)</t>
  </si>
  <si>
    <t>391115ZZ701Z0007</t>
  </si>
  <si>
    <t>MM064790206</t>
  </si>
  <si>
    <t>2000mm</t>
  </si>
  <si>
    <t>LED 60W 라인등</t>
  </si>
  <si>
    <t>391115ZZ701Z0006</t>
  </si>
  <si>
    <t>MM064790209</t>
  </si>
  <si>
    <t>LED 40W 평판등</t>
  </si>
  <si>
    <t>391115ZZ701Z0005</t>
  </si>
  <si>
    <t>MM064790208</t>
  </si>
  <si>
    <t>1000mm</t>
  </si>
  <si>
    <t>LED 30W 라인등</t>
  </si>
  <si>
    <t>391115ZZ701Z0004</t>
  </si>
  <si>
    <t>MM064790210</t>
  </si>
  <si>
    <t>500mm</t>
  </si>
  <si>
    <t>LED 20W 라인등</t>
  </si>
  <si>
    <t>391115ZZ701Z0003</t>
  </si>
  <si>
    <t>MM064790211</t>
  </si>
  <si>
    <t>LED 14W T5(0.9M)</t>
  </si>
  <si>
    <t>391115ZZ701Z0002</t>
  </si>
  <si>
    <t>MM064790214</t>
  </si>
  <si>
    <t>개</t>
  </si>
  <si>
    <t>SUPPER WIDE,250V 1로6구</t>
  </si>
  <si>
    <t>와이드 스위치</t>
  </si>
  <si>
    <t>3912998720172261</t>
  </si>
  <si>
    <t>59301517206</t>
  </si>
  <si>
    <t>SUPPER WIDE,250V 1로4구</t>
  </si>
  <si>
    <t>3912998720172259</t>
  </si>
  <si>
    <t>59301517204</t>
  </si>
  <si>
    <t>SUPPER WIDE,250V 1로3구</t>
  </si>
  <si>
    <t>3912998720172258</t>
  </si>
  <si>
    <t>59301517203</t>
  </si>
  <si>
    <t>SUPPER WIDE,250V 1로1구</t>
  </si>
  <si>
    <t>3912998720172256</t>
  </si>
  <si>
    <t>59301517201</t>
  </si>
  <si>
    <t>HFIX 1.78mm(2.5㎟)</t>
  </si>
  <si>
    <t>450/750V 내열비닐절연전선</t>
  </si>
  <si>
    <t>2612162922076727</t>
  </si>
  <si>
    <t>MM481669624</t>
  </si>
  <si>
    <t>커버, 4각, 평형</t>
  </si>
  <si>
    <t>아우트렛박스 커버</t>
  </si>
  <si>
    <t>3912130820174713</t>
  </si>
  <si>
    <t>59753767231</t>
  </si>
  <si>
    <t>2 개용 54 mm</t>
  </si>
  <si>
    <t>스위치박스</t>
  </si>
  <si>
    <t>3912130610035781</t>
  </si>
  <si>
    <t>59753777111</t>
  </si>
  <si>
    <t>1 개용 54 mm</t>
  </si>
  <si>
    <t>3912130610035778</t>
  </si>
  <si>
    <t>59753777102</t>
  </si>
  <si>
    <t>중형4각 54㎜</t>
  </si>
  <si>
    <t>아우트렛박스</t>
  </si>
  <si>
    <t>3912130810035753</t>
  </si>
  <si>
    <t>59753767041</t>
  </si>
  <si>
    <t>22 mm 일반-비방수</t>
  </si>
  <si>
    <t>1종금속제가요전선관</t>
  </si>
  <si>
    <t>3913170620174411</t>
  </si>
  <si>
    <t>59753017004</t>
  </si>
  <si>
    <t>16 mm 일반-비방수</t>
  </si>
  <si>
    <t>3913170620174410</t>
  </si>
  <si>
    <t>59753017003</t>
  </si>
  <si>
    <t>CD 전선관의 40 %</t>
  </si>
  <si>
    <t>[ 배관 부속재 ]</t>
  </si>
  <si>
    <t>RENT000000000001</t>
  </si>
  <si>
    <t>A0600000000</t>
  </si>
  <si>
    <t>CD-난연성 22㎜</t>
  </si>
  <si>
    <t>합성수지제 가요전선관</t>
  </si>
  <si>
    <t>3913170610035665</t>
  </si>
  <si>
    <t>59753097003</t>
  </si>
  <si>
    <t>CD-난연성 16㎜</t>
  </si>
  <si>
    <t>3913170610035664</t>
  </si>
  <si>
    <t>59753097002</t>
  </si>
  <si>
    <t>1.전기공사::1-2.전등설비공사</t>
  </si>
  <si>
    <t>배관공</t>
  </si>
  <si>
    <t>L001010101000039</t>
  </si>
  <si>
    <t>56900017030</t>
  </si>
  <si>
    <t>통신케이블공</t>
  </si>
  <si>
    <t>L001010101000089</t>
  </si>
  <si>
    <t>56900017116</t>
  </si>
  <si>
    <t>저압케이블전공</t>
  </si>
  <si>
    <t>L001010101000078</t>
  </si>
  <si>
    <t>56900017076</t>
  </si>
  <si>
    <t>제 1호</t>
  </si>
  <si>
    <t>면</t>
  </si>
  <si>
    <t>기존 분전반 속판 교체</t>
  </si>
  <si>
    <t>EAZ800010000</t>
  </si>
  <si>
    <t>56959000001</t>
  </si>
  <si>
    <t>콘센트 철거</t>
  </si>
  <si>
    <t>391115ZZ701Z0027</t>
  </si>
  <si>
    <t>MM064790110</t>
  </si>
  <si>
    <t>콘센트리프트판넬</t>
  </si>
  <si>
    <t>391115ZZ701Z0026</t>
  </si>
  <si>
    <t>MM064790168</t>
  </si>
  <si>
    <t>콘센트리프트 리모컨</t>
  </si>
  <si>
    <t>391115ZZ701Z0025</t>
  </si>
  <si>
    <t>MM064790170</t>
  </si>
  <si>
    <t>1구콘센트 4EA,</t>
  </si>
  <si>
    <t>콘센트리프트</t>
  </si>
  <si>
    <t>391115ZZ701Z0024</t>
  </si>
  <si>
    <t>MM064790166</t>
  </si>
  <si>
    <t>흰색</t>
  </si>
  <si>
    <t>콘센트 교체</t>
  </si>
  <si>
    <t>391115ZZ701Z0023</t>
  </si>
  <si>
    <t>MM064790113</t>
  </si>
  <si>
    <t>시스템 박스 교체</t>
  </si>
  <si>
    <t>391115ZZ701Z0021</t>
  </si>
  <si>
    <t>MM064790123</t>
  </si>
  <si>
    <t>컬럼형</t>
  </si>
  <si>
    <t>스피커 철거</t>
  </si>
  <si>
    <t>391115ZZ701Z0020</t>
  </si>
  <si>
    <t>MM064790139</t>
  </si>
  <si>
    <t>철거재사용</t>
  </si>
  <si>
    <t>스피커 재설치 컬럼형</t>
  </si>
  <si>
    <t>391115ZZ701Z0019</t>
  </si>
  <si>
    <t>MM064790149</t>
  </si>
  <si>
    <t>스피커 재설치 천장형</t>
  </si>
  <si>
    <t>391115ZZ701Z0018</t>
  </si>
  <si>
    <t>MM064790142</t>
  </si>
  <si>
    <t>지급자재</t>
  </si>
  <si>
    <t>외함은 건축 지급</t>
  </si>
  <si>
    <t>소화전 외함 교체</t>
  </si>
  <si>
    <t>391115ZZ701Z0016</t>
  </si>
  <si>
    <t>MM064790135</t>
  </si>
  <si>
    <t>소방감지기 재설치</t>
  </si>
  <si>
    <t>391115ZZ701Z0015</t>
  </si>
  <si>
    <t>MM064790148</t>
  </si>
  <si>
    <t>SET</t>
  </si>
  <si>
    <t>빔 프로젝트(스크린포함) 철거</t>
  </si>
  <si>
    <t>391115ZZ701Z0014</t>
  </si>
  <si>
    <t>MM064790158</t>
  </si>
  <si>
    <t>무선 AP 재설치</t>
  </si>
  <si>
    <t>391115ZZ701Z0012</t>
  </si>
  <si>
    <t>MM064790152</t>
  </si>
  <si>
    <t>노출배관 철거</t>
  </si>
  <si>
    <t>391115ZZ701Z0011</t>
  </si>
  <si>
    <t>MM064790116</t>
  </si>
  <si>
    <t>기존 분전반 속판 철거</t>
  </si>
  <si>
    <t>391115ZZ701Z0010</t>
  </si>
  <si>
    <t>MM064790155</t>
  </si>
  <si>
    <t>TV 유닛 철거</t>
  </si>
  <si>
    <t>391115ZZ701Z0008</t>
  </si>
  <si>
    <t>MM064790161</t>
  </si>
  <si>
    <t>HDMI CABLE</t>
  </si>
  <si>
    <t>391115ZZ701Z0001</t>
  </si>
  <si>
    <t>MM064790193</t>
  </si>
  <si>
    <t>시각경보기</t>
  </si>
  <si>
    <t>4619150520689684</t>
  </si>
  <si>
    <t>MM317275398</t>
  </si>
  <si>
    <t>매입-접지형, 250V 1구</t>
  </si>
  <si>
    <t>방우콘센트</t>
  </si>
  <si>
    <t>3912140621030227</t>
  </si>
  <si>
    <t>59350317207</t>
  </si>
  <si>
    <t>매입-접지형, 250V 2구</t>
  </si>
  <si>
    <t>콘센트</t>
  </si>
  <si>
    <t>3912140620170850</t>
  </si>
  <si>
    <t>59350317206</t>
  </si>
  <si>
    <t>Cat.6 0.5mm 4P</t>
  </si>
  <si>
    <t>UTP 케이블</t>
  </si>
  <si>
    <t>2612160921650753</t>
  </si>
  <si>
    <t>61452167502</t>
  </si>
  <si>
    <t>0.6/1kv F-CV 3C×4㎟</t>
  </si>
  <si>
    <t>폴리에틸렌 난연케이블</t>
  </si>
  <si>
    <t>2612162920683922</t>
  </si>
  <si>
    <t>E1450287539</t>
  </si>
  <si>
    <t>0.6/1kv F-CV 2C×4㎟</t>
  </si>
  <si>
    <t>2612162920683903</t>
  </si>
  <si>
    <t>E1450287522</t>
  </si>
  <si>
    <t>VCT, 3심 1.5 ㎟</t>
  </si>
  <si>
    <t>600V 비닐 캡타이어케이블</t>
  </si>
  <si>
    <t>2612161321233111</t>
  </si>
  <si>
    <t>MM481502538</t>
  </si>
  <si>
    <t>4㎟</t>
  </si>
  <si>
    <t>접지용비닐절연전선(F-GV)</t>
  </si>
  <si>
    <t>2612152420683696</t>
  </si>
  <si>
    <t>E1450927202</t>
  </si>
  <si>
    <t>HFIX 2.25mm(4㎟)</t>
  </si>
  <si>
    <t>2612162922076728</t>
  </si>
  <si>
    <t>E1450667003</t>
  </si>
  <si>
    <t>CATV   3호</t>
  </si>
  <si>
    <t>Al MOLD</t>
  </si>
  <si>
    <t>3913171221650780</t>
  </si>
  <si>
    <t>MM300040370</t>
  </si>
  <si>
    <t>DUCT, W 100 x H 100</t>
  </si>
  <si>
    <t>덕트형 케이블트레이</t>
  </si>
  <si>
    <t>3913170420175321</t>
  </si>
  <si>
    <t>MM584315798</t>
  </si>
  <si>
    <t>커버, 4각,2개용S/W (오목)</t>
  </si>
  <si>
    <t>3912130820174718</t>
  </si>
  <si>
    <t>59753767281</t>
  </si>
  <si>
    <t>CD-난연성 28㎜</t>
  </si>
  <si>
    <t>3913170610035666</t>
  </si>
  <si>
    <t>59753097004</t>
  </si>
  <si>
    <t>1.전기공사::1-1.전열설비공사</t>
  </si>
  <si>
    <t>노임계</t>
    <phoneticPr fontId="4" type="noConversion"/>
  </si>
  <si>
    <t>자재계</t>
    <phoneticPr fontId="4" type="noConversion"/>
  </si>
  <si>
    <t>소모재</t>
    <phoneticPr fontId="4" type="noConversion"/>
  </si>
  <si>
    <t>일반배관재</t>
    <phoneticPr fontId="4" type="noConversion"/>
  </si>
  <si>
    <t>CD배관재</t>
    <phoneticPr fontId="4" type="noConversion"/>
  </si>
  <si>
    <t>노임 소수</t>
    <phoneticPr fontId="4" type="noConversion"/>
  </si>
  <si>
    <t>공종별(%)</t>
    <phoneticPr fontId="4" type="noConversion"/>
  </si>
  <si>
    <t>전체(%)</t>
    <phoneticPr fontId="4" type="noConversion"/>
  </si>
  <si>
    <t>규   격</t>
    <phoneticPr fontId="4" type="noConversion"/>
  </si>
  <si>
    <t>명   칭</t>
    <phoneticPr fontId="4" type="noConversion"/>
  </si>
  <si>
    <t>코드</t>
    <phoneticPr fontId="4" type="noConversion"/>
  </si>
  <si>
    <t>부속재 및 손료</t>
    <phoneticPr fontId="4" type="noConversion"/>
  </si>
  <si>
    <t>노임 계산 정보</t>
    <phoneticPr fontId="4" type="noConversion"/>
  </si>
  <si>
    <t>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</si>
</sst>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;\-#,###"/>
  </numFmts>
  <fonts count="7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돋움체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28"/>
      <name val="돋움체"/>
      <family val="3"/>
      <charset val="129"/>
    </font>
    <font>
      <sz val="12"/>
      <name val="돋움체"/>
      <family val="3"/>
      <charset val="129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41" fontId="1" fillId="0" borderId="0" applyFont="0" applyFill="0" applyBorder="0" applyAlignment="0" applyProtection="0"/>
  </cellStyleXfs>
  <cellXfs count="62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176" fontId="2" fillId="0" borderId="0" xfId="1" applyNumberFormat="1" applyFont="1" applyAlignment="1">
      <alignment vertical="center"/>
    </xf>
    <xf numFmtId="49" fontId="2" fillId="0" borderId="1" xfId="1" applyNumberFormat="1" applyFont="1" applyBorder="1" applyAlignment="1">
      <alignment vertical="center"/>
    </xf>
    <xf numFmtId="176" fontId="2" fillId="0" borderId="2" xfId="1" applyNumberFormat="1" applyFont="1" applyBorder="1" applyAlignment="1">
      <alignment vertical="center"/>
    </xf>
    <xf numFmtId="49" fontId="2" fillId="0" borderId="2" xfId="1" applyNumberFormat="1" applyFont="1" applyBorder="1" applyAlignment="1">
      <alignment horizontal="left" vertical="center" indent="2"/>
    </xf>
    <xf numFmtId="49" fontId="2" fillId="0" borderId="3" xfId="1" applyNumberFormat="1" applyFont="1" applyBorder="1" applyAlignment="1">
      <alignment horizontal="left" vertical="center" indent="2"/>
    </xf>
    <xf numFmtId="49" fontId="2" fillId="0" borderId="4" xfId="1" applyNumberFormat="1" applyFont="1" applyBorder="1" applyAlignment="1">
      <alignment vertical="center"/>
    </xf>
    <xf numFmtId="176" fontId="2" fillId="0" borderId="5" xfId="1" applyNumberFormat="1" applyFont="1" applyBorder="1" applyAlignment="1">
      <alignment vertical="center"/>
    </xf>
    <xf numFmtId="49" fontId="2" fillId="0" borderId="5" xfId="1" applyNumberFormat="1" applyFont="1" applyBorder="1" applyAlignment="1">
      <alignment horizontal="left" vertical="center" indent="2"/>
    </xf>
    <xf numFmtId="49" fontId="2" fillId="0" borderId="6" xfId="1" applyNumberFormat="1" applyFont="1" applyBorder="1" applyAlignment="1">
      <alignment horizontal="left" vertical="center" indent="2"/>
    </xf>
    <xf numFmtId="49" fontId="2" fillId="0" borderId="4" xfId="1" quotePrefix="1" applyNumberFormat="1" applyFont="1" applyBorder="1" applyAlignment="1">
      <alignment vertical="center"/>
    </xf>
    <xf numFmtId="0" fontId="1" fillId="0" borderId="7" xfId="1" applyBorder="1" applyAlignment="1">
      <alignment horizontal="left" vertical="center" indent="1"/>
    </xf>
    <xf numFmtId="0" fontId="2" fillId="0" borderId="8" xfId="1" applyFont="1" applyBorder="1" applyAlignment="1">
      <alignment horizontal="left" vertical="center" indent="1"/>
    </xf>
    <xf numFmtId="0" fontId="2" fillId="0" borderId="9" xfId="1" applyFont="1" applyBorder="1" applyAlignment="1">
      <alignment vertical="center"/>
    </xf>
    <xf numFmtId="49" fontId="2" fillId="0" borderId="10" xfId="1" applyNumberFormat="1" applyFont="1" applyBorder="1" applyAlignment="1">
      <alignment horizontal="left" vertical="center" indent="1"/>
    </xf>
    <xf numFmtId="0" fontId="2" fillId="0" borderId="11" xfId="1" applyFont="1" applyBorder="1" applyAlignment="1">
      <alignment vertical="center"/>
    </xf>
    <xf numFmtId="49" fontId="2" fillId="0" borderId="5" xfId="1" applyNumberFormat="1" applyFont="1" applyBorder="1" applyAlignment="1">
      <alignment horizontal="left" vertical="center" indent="1"/>
    </xf>
    <xf numFmtId="0" fontId="2" fillId="0" borderId="9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49" fontId="2" fillId="0" borderId="13" xfId="1" applyNumberFormat="1" applyFont="1" applyBorder="1" applyAlignment="1">
      <alignment vertical="center"/>
    </xf>
    <xf numFmtId="176" fontId="2" fillId="0" borderId="12" xfId="1" applyNumberFormat="1" applyFont="1" applyBorder="1" applyAlignment="1">
      <alignment vertical="center"/>
    </xf>
    <xf numFmtId="49" fontId="2" fillId="0" borderId="12" xfId="1" applyNumberFormat="1" applyFont="1" applyBorder="1" applyAlignment="1">
      <alignment horizontal="left" vertical="center" indent="1"/>
    </xf>
    <xf numFmtId="0" fontId="2" fillId="0" borderId="14" xfId="1" applyFont="1" applyBorder="1" applyAlignment="1">
      <alignment horizontal="center" vertical="center"/>
    </xf>
    <xf numFmtId="176" fontId="2" fillId="0" borderId="15" xfId="1" applyNumberFormat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0" xfId="1" applyFont="1" applyAlignment="1">
      <alignment horizontal="right" vertical="center"/>
    </xf>
    <xf numFmtId="0" fontId="2" fillId="0" borderId="17" xfId="1" applyFont="1" applyBorder="1" applyAlignment="1">
      <alignment vertical="center"/>
    </xf>
    <xf numFmtId="49" fontId="2" fillId="0" borderId="17" xfId="1" applyNumberFormat="1" applyFont="1" applyBorder="1" applyAlignment="1">
      <alignment horizontal="right" vertical="center"/>
    </xf>
    <xf numFmtId="0" fontId="5" fillId="0" borderId="0" xfId="1" applyFont="1" applyAlignment="1">
      <alignment horizontal="center" vertical="center"/>
    </xf>
    <xf numFmtId="0" fontId="2" fillId="0" borderId="0" xfId="1" applyFont="1"/>
    <xf numFmtId="49" fontId="2" fillId="0" borderId="0" xfId="1" applyNumberFormat="1" applyFont="1"/>
    <xf numFmtId="176" fontId="2" fillId="0" borderId="0" xfId="1" applyNumberFormat="1" applyFont="1"/>
    <xf numFmtId="0" fontId="2" fillId="0" borderId="0" xfId="1" applyFont="1" applyAlignment="1">
      <alignment horizontal="center"/>
    </xf>
    <xf numFmtId="49" fontId="2" fillId="0" borderId="5" xfId="1" applyNumberFormat="1" applyFont="1" applyBorder="1"/>
    <xf numFmtId="176" fontId="2" fillId="0" borderId="5" xfId="1" applyNumberFormat="1" applyFont="1" applyBorder="1"/>
    <xf numFmtId="0" fontId="2" fillId="0" borderId="5" xfId="1" applyFont="1" applyBorder="1" applyAlignment="1">
      <alignment horizontal="center"/>
    </xf>
    <xf numFmtId="0" fontId="2" fillId="0" borderId="5" xfId="1" applyFont="1" applyBorder="1"/>
    <xf numFmtId="0" fontId="1" fillId="0" borderId="7" xfId="1" applyBorder="1" applyAlignment="1">
      <alignment horizontal="left"/>
    </xf>
    <xf numFmtId="0" fontId="1" fillId="0" borderId="18" xfId="1" applyBorder="1" applyAlignment="1">
      <alignment horizontal="left"/>
    </xf>
    <xf numFmtId="49" fontId="2" fillId="0" borderId="8" xfId="1" applyNumberFormat="1" applyFont="1" applyBorder="1" applyAlignment="1">
      <alignment horizontal="left"/>
    </xf>
    <xf numFmtId="0" fontId="2" fillId="0" borderId="0" xfId="1" applyFont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176" fontId="2" fillId="0" borderId="10" xfId="1" applyNumberFormat="1" applyFont="1" applyBorder="1" applyAlignment="1">
      <alignment horizontal="center" vertical="center"/>
    </xf>
    <xf numFmtId="176" fontId="2" fillId="0" borderId="10" xfId="1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176" fontId="2" fillId="0" borderId="5" xfId="1" applyNumberFormat="1" applyFont="1" applyBorder="1" applyAlignment="1">
      <alignment horizontal="center" vertical="center"/>
    </xf>
    <xf numFmtId="176" fontId="2" fillId="0" borderId="5" xfId="1" applyNumberFormat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49" fontId="1" fillId="0" borderId="19" xfId="1" applyNumberFormat="1" applyBorder="1" applyAlignment="1">
      <alignment horizontal="left"/>
    </xf>
    <xf numFmtId="49" fontId="2" fillId="0" borderId="19" xfId="1" applyNumberFormat="1" applyFont="1" applyBorder="1" applyAlignment="1">
      <alignment horizontal="left"/>
    </xf>
    <xf numFmtId="176" fontId="2" fillId="0" borderId="5" xfId="2" applyNumberFormat="1" applyFont="1" applyBorder="1"/>
    <xf numFmtId="176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center"/>
    </xf>
    <xf numFmtId="49" fontId="6" fillId="0" borderId="19" xfId="1" applyNumberFormat="1" applyFont="1" applyBorder="1" applyAlignment="1">
      <alignment horizontal="left"/>
    </xf>
  </cellXfs>
  <cellStyles count="3">
    <cellStyle name="쉼표 [0] 2" xfId="2" xr:uid="{125A475F-7CAE-4CA9-A986-61871F9EE773}"/>
    <cellStyle name="표준" xfId="0" builtinId="0"/>
    <cellStyle name="표준 2" xfId="1" xr:uid="{78CB63BB-2852-4DF4-B389-0547A19E17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1</xdr:row>
      <xdr:rowOff>0</xdr:rowOff>
    </xdr:from>
    <xdr:to>
      <xdr:col>4</xdr:col>
      <xdr:colOff>1428750</xdr:colOff>
      <xdr:row>1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CEEF0E41-F284-4D0D-BDD3-96E5164DA57C}"/>
            </a:ext>
          </a:extLst>
        </xdr:cNvPr>
        <xdr:cNvSpPr>
          <a:spLocks noChangeShapeType="1"/>
        </xdr:cNvSpPr>
      </xdr:nvSpPr>
      <xdr:spPr bwMode="auto">
        <a:xfrm>
          <a:off x="2914650" y="171450"/>
          <a:ext cx="8953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44277;&#49324;%20&#44228;&#50557;%20&#44288;&#47144;/&#44277;&#49324;&#44228;&#50557;/&#52572;&#51333;%20&#49457;&#44284;&#54408;%20-%20&#51204;&#45224;&#44256;%202026&#54617;&#45380;&#46020;%20AI%20&#50997;&#54633;&#54805;%20&#44368;&#50977;&#49892;%20&#44396;&#52629;%20&#49444;&#44228;&#50857;&#50669;/02%20&#51204;&#44592;/02%20&#44277;&#49324;&#50696;&#51221;&#44277;&#51221;&#54364;,&#45236;&#50669;&#49436;,&#49688;&#47049;&#49328;&#52636;&#49436;,&#44204;&#51201;&#49436;-&#51204;&#44592;/02-2%20&#45236;&#50669;&#49436;,&#49688;&#47049;&#49328;&#52636;&#49436;-&#51204;&#445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표지"/>
      <sheetName val="노임근거"/>
      <sheetName val="일대목차"/>
      <sheetName val="일위대가"/>
      <sheetName val="일위노임"/>
      <sheetName val="합산자재"/>
      <sheetName val="단가조사"/>
      <sheetName val="옵션"/>
      <sheetName val="목차"/>
      <sheetName val="산출집계"/>
      <sheetName val="기본산출서"/>
      <sheetName val="사용설명"/>
    </sheetNames>
    <sheetDataSet>
      <sheetData sheetId="0" refreshError="1"/>
      <sheetData sheetId="1" refreshError="1"/>
      <sheetData sheetId="2">
        <row r="40">
          <cell r="G40">
            <v>33.25</v>
          </cell>
        </row>
        <row r="41">
          <cell r="G41">
            <v>7.42</v>
          </cell>
        </row>
        <row r="42">
          <cell r="G42">
            <v>4.4999999999999998E-2</v>
          </cell>
        </row>
        <row r="43">
          <cell r="G43">
            <v>3.58</v>
          </cell>
        </row>
        <row r="44">
          <cell r="G44">
            <v>1.36</v>
          </cell>
        </row>
        <row r="78">
          <cell r="G78">
            <v>29.27</v>
          </cell>
        </row>
        <row r="79">
          <cell r="G79">
            <v>0.32</v>
          </cell>
        </row>
      </sheetData>
      <sheetData sheetId="3">
        <row r="4">
          <cell r="I4">
            <v>446964</v>
          </cell>
        </row>
      </sheetData>
      <sheetData sheetId="4" refreshError="1"/>
      <sheetData sheetId="5" refreshError="1"/>
      <sheetData sheetId="6">
        <row r="4">
          <cell r="H4">
            <v>170</v>
          </cell>
        </row>
        <row r="49">
          <cell r="H49">
            <v>0</v>
          </cell>
        </row>
        <row r="51">
          <cell r="H51">
            <v>0</v>
          </cell>
        </row>
      </sheetData>
      <sheetData sheetId="7" refreshError="1"/>
      <sheetData sheetId="8">
        <row r="2">
          <cell r="B2">
            <v>19580277</v>
          </cell>
        </row>
        <row r="11">
          <cell r="C11">
            <v>1000</v>
          </cell>
        </row>
        <row r="12">
          <cell r="C12">
            <v>1000</v>
          </cell>
        </row>
        <row r="33">
          <cell r="B33">
            <v>2</v>
          </cell>
        </row>
        <row r="36">
          <cell r="B36">
            <v>3</v>
          </cell>
        </row>
      </sheetData>
      <sheetData sheetId="9" refreshError="1"/>
      <sheetData sheetId="10">
        <row r="5">
          <cell r="H5">
            <v>73</v>
          </cell>
        </row>
        <row r="6">
          <cell r="H6">
            <v>18</v>
          </cell>
        </row>
        <row r="7">
          <cell r="H7">
            <v>312</v>
          </cell>
        </row>
        <row r="8">
          <cell r="H8">
            <v>29</v>
          </cell>
        </row>
        <row r="9">
          <cell r="H9">
            <v>16</v>
          </cell>
        </row>
        <row r="10">
          <cell r="H10">
            <v>16</v>
          </cell>
        </row>
        <row r="11">
          <cell r="H11">
            <v>3</v>
          </cell>
        </row>
        <row r="12">
          <cell r="H12">
            <v>14</v>
          </cell>
        </row>
        <row r="13">
          <cell r="H13">
            <v>490</v>
          </cell>
        </row>
        <row r="14">
          <cell r="H14">
            <v>29</v>
          </cell>
        </row>
        <row r="15">
          <cell r="H15">
            <v>145</v>
          </cell>
        </row>
        <row r="16">
          <cell r="H16">
            <v>28</v>
          </cell>
        </row>
        <row r="17">
          <cell r="H17">
            <v>88</v>
          </cell>
        </row>
        <row r="18">
          <cell r="H18">
            <v>4</v>
          </cell>
        </row>
        <row r="19">
          <cell r="H19">
            <v>15</v>
          </cell>
        </row>
        <row r="20">
          <cell r="H20">
            <v>1</v>
          </cell>
        </row>
        <row r="21">
          <cell r="H21">
            <v>1</v>
          </cell>
        </row>
        <row r="22">
          <cell r="H22">
            <v>16</v>
          </cell>
        </row>
        <row r="23">
          <cell r="H23">
            <v>1</v>
          </cell>
        </row>
        <row r="24">
          <cell r="H24">
            <v>1</v>
          </cell>
        </row>
        <row r="25">
          <cell r="H25">
            <v>11</v>
          </cell>
          <cell r="J25">
            <v>11</v>
          </cell>
        </row>
        <row r="26">
          <cell r="H26">
            <v>1</v>
          </cell>
          <cell r="J26">
            <v>1</v>
          </cell>
        </row>
        <row r="27">
          <cell r="H27">
            <v>30</v>
          </cell>
          <cell r="J27">
            <v>30</v>
          </cell>
        </row>
        <row r="28">
          <cell r="H28">
            <v>1</v>
          </cell>
          <cell r="J28">
            <v>1</v>
          </cell>
        </row>
        <row r="29">
          <cell r="H29">
            <v>3</v>
          </cell>
          <cell r="J29">
            <v>3</v>
          </cell>
        </row>
        <row r="30">
          <cell r="H30">
            <v>1</v>
          </cell>
          <cell r="J30">
            <v>1</v>
          </cell>
        </row>
        <row r="31">
          <cell r="H31">
            <v>5</v>
          </cell>
          <cell r="J31">
            <v>5</v>
          </cell>
        </row>
        <row r="32">
          <cell r="H32">
            <v>2</v>
          </cell>
          <cell r="J32">
            <v>2</v>
          </cell>
        </row>
        <row r="33">
          <cell r="H33">
            <v>5</v>
          </cell>
        </row>
        <row r="34">
          <cell r="H34">
            <v>1</v>
          </cell>
        </row>
        <row r="35">
          <cell r="H35">
            <v>8</v>
          </cell>
        </row>
        <row r="36">
          <cell r="H36">
            <v>9</v>
          </cell>
        </row>
        <row r="37">
          <cell r="H37">
            <v>1</v>
          </cell>
        </row>
        <row r="42">
          <cell r="H42">
            <v>1</v>
          </cell>
        </row>
        <row r="43">
          <cell r="H43">
            <v>9</v>
          </cell>
        </row>
        <row r="44">
          <cell r="H44">
            <v>1</v>
          </cell>
        </row>
        <row r="79">
          <cell r="H79">
            <v>19</v>
          </cell>
        </row>
        <row r="80">
          <cell r="H80">
            <v>20</v>
          </cell>
        </row>
        <row r="81">
          <cell r="H81">
            <v>93</v>
          </cell>
        </row>
        <row r="82">
          <cell r="H82">
            <v>10</v>
          </cell>
        </row>
        <row r="83">
          <cell r="H83">
            <v>19</v>
          </cell>
        </row>
        <row r="84">
          <cell r="H84">
            <v>1</v>
          </cell>
        </row>
        <row r="85">
          <cell r="H85">
            <v>3</v>
          </cell>
        </row>
        <row r="86">
          <cell r="H86">
            <v>19</v>
          </cell>
        </row>
        <row r="87">
          <cell r="H87">
            <v>576</v>
          </cell>
        </row>
        <row r="88">
          <cell r="H88">
            <v>1</v>
          </cell>
        </row>
        <row r="89">
          <cell r="H89">
            <v>1</v>
          </cell>
        </row>
        <row r="90">
          <cell r="H90">
            <v>1</v>
          </cell>
        </row>
        <row r="91">
          <cell r="H91">
            <v>1</v>
          </cell>
        </row>
        <row r="92">
          <cell r="H92">
            <v>13</v>
          </cell>
        </row>
        <row r="93">
          <cell r="H93">
            <v>3</v>
          </cell>
        </row>
        <row r="94">
          <cell r="H94">
            <v>10</v>
          </cell>
        </row>
        <row r="95">
          <cell r="H95">
            <v>8</v>
          </cell>
        </row>
        <row r="96">
          <cell r="H96">
            <v>44</v>
          </cell>
        </row>
        <row r="97">
          <cell r="H97">
            <v>3</v>
          </cell>
        </row>
        <row r="98">
          <cell r="H98">
            <v>20</v>
          </cell>
        </row>
        <row r="99">
          <cell r="H99">
            <v>4</v>
          </cell>
        </row>
        <row r="100">
          <cell r="H100">
            <v>4</v>
          </cell>
        </row>
      </sheetData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141B-29A8-44E8-A40A-7AA9D899C748}">
  <dimension ref="A1:H37"/>
  <sheetViews>
    <sheetView tabSelected="1" zoomScale="85" zoomScaleNormal="85" workbookViewId="0">
      <selection activeCell="E39" sqref="E39"/>
    </sheetView>
  </sheetViews>
  <sheetFormatPr defaultRowHeight="13.5" x14ac:dyDescent="0.3"/>
  <cols>
    <col min="1" max="1" width="3.625" style="1" customWidth="1"/>
    <col min="2" max="2" width="3.875" style="1" customWidth="1"/>
    <col min="3" max="3" width="28.5" style="1" customWidth="1"/>
    <col min="4" max="4" width="24.75" style="2" customWidth="1"/>
    <col min="5" max="5" width="63.625" style="1" customWidth="1"/>
    <col min="6" max="6" width="9.875" style="1" hidden="1" customWidth="1"/>
    <col min="7" max="7" width="10" style="1" hidden="1" customWidth="1"/>
    <col min="8" max="8" width="16.125" style="2" customWidth="1"/>
    <col min="9" max="16384" width="9" style="1"/>
  </cols>
  <sheetData>
    <row r="1" spans="1:7" ht="35.25" x14ac:dyDescent="0.3">
      <c r="A1" s="34" t="s">
        <v>43</v>
      </c>
      <c r="B1" s="34"/>
      <c r="C1" s="34"/>
      <c r="D1" s="34"/>
      <c r="E1" s="34"/>
    </row>
    <row r="2" spans="1:7" ht="24.75" customHeight="1" x14ac:dyDescent="0.3"/>
    <row r="3" spans="1:7" ht="14.25" thickBot="1" x14ac:dyDescent="0.35">
      <c r="A3" s="33" t="s">
        <v>42</v>
      </c>
      <c r="B3" s="33"/>
      <c r="C3" s="32" t="s">
        <v>41</v>
      </c>
      <c r="D3" s="32"/>
      <c r="E3" s="31" t="s">
        <v>40</v>
      </c>
    </row>
    <row r="4" spans="1:7" ht="21.75" customHeight="1" thickBot="1" x14ac:dyDescent="0.35">
      <c r="A4" s="30" t="s">
        <v>39</v>
      </c>
      <c r="B4" s="29"/>
      <c r="C4" s="28" t="s">
        <v>38</v>
      </c>
      <c r="D4" s="27" t="s">
        <v>37</v>
      </c>
      <c r="E4" s="26" t="s">
        <v>36</v>
      </c>
      <c r="F4" s="1" t="s">
        <v>1</v>
      </c>
    </row>
    <row r="5" spans="1:7" ht="14.1" customHeight="1" x14ac:dyDescent="0.3">
      <c r="A5" s="14"/>
      <c r="B5" s="21" t="s">
        <v>33</v>
      </c>
      <c r="C5" s="25" t="s">
        <v>32</v>
      </c>
      <c r="D5" s="24"/>
      <c r="E5" s="23"/>
      <c r="G5" s="1" t="s">
        <v>1</v>
      </c>
    </row>
    <row r="6" spans="1:7" ht="14.1" customHeight="1" x14ac:dyDescent="0.3">
      <c r="A6" s="14"/>
      <c r="B6" s="21"/>
      <c r="C6" s="17" t="s">
        <v>31</v>
      </c>
      <c r="D6" s="8"/>
      <c r="E6" s="7"/>
    </row>
    <row r="7" spans="1:7" ht="14.1" customHeight="1" x14ac:dyDescent="0.3">
      <c r="A7" s="14" t="s">
        <v>1</v>
      </c>
      <c r="B7" s="20"/>
      <c r="C7" s="17" t="s">
        <v>11</v>
      </c>
      <c r="D7" s="8"/>
      <c r="E7" s="7"/>
    </row>
    <row r="8" spans="1:7" ht="14.1" customHeight="1" x14ac:dyDescent="0.3">
      <c r="A8" s="18" t="s">
        <v>30</v>
      </c>
      <c r="B8" s="22" t="s">
        <v>29</v>
      </c>
      <c r="C8" s="17" t="s">
        <v>28</v>
      </c>
      <c r="D8" s="8"/>
      <c r="E8" s="7"/>
    </row>
    <row r="9" spans="1:7" ht="14.1" customHeight="1" x14ac:dyDescent="0.3">
      <c r="A9" s="14"/>
      <c r="B9" s="21"/>
      <c r="C9" s="17" t="s">
        <v>27</v>
      </c>
      <c r="D9" s="8"/>
      <c r="E9" s="7" t="s">
        <v>26</v>
      </c>
    </row>
    <row r="10" spans="1:7" ht="14.1" customHeight="1" x14ac:dyDescent="0.3">
      <c r="A10" s="14"/>
      <c r="B10" s="20"/>
      <c r="C10" s="17" t="s">
        <v>11</v>
      </c>
      <c r="D10" s="8"/>
      <c r="E10" s="7"/>
    </row>
    <row r="11" spans="1:7" ht="14.1" customHeight="1" x14ac:dyDescent="0.3">
      <c r="A11" s="14" t="s">
        <v>1</v>
      </c>
      <c r="B11" s="16"/>
      <c r="C11" s="17" t="s">
        <v>25</v>
      </c>
      <c r="D11" s="8"/>
      <c r="E11" s="7" t="s">
        <v>24</v>
      </c>
    </row>
    <row r="12" spans="1:7" ht="14.1" customHeight="1" x14ac:dyDescent="0.3">
      <c r="A12" s="14"/>
      <c r="B12" s="16"/>
      <c r="C12" s="17" t="s">
        <v>23</v>
      </c>
      <c r="D12" s="8"/>
      <c r="E12" s="7" t="s">
        <v>22</v>
      </c>
    </row>
    <row r="13" spans="1:7" ht="14.1" customHeight="1" x14ac:dyDescent="0.3">
      <c r="A13" s="18" t="s">
        <v>21</v>
      </c>
      <c r="C13" s="17" t="s">
        <v>20</v>
      </c>
      <c r="D13" s="8"/>
      <c r="E13" s="7" t="s">
        <v>19</v>
      </c>
    </row>
    <row r="14" spans="1:7" ht="14.1" customHeight="1" x14ac:dyDescent="0.3">
      <c r="A14" s="14"/>
      <c r="B14" s="19" t="s">
        <v>18</v>
      </c>
      <c r="C14" s="17" t="s">
        <v>17</v>
      </c>
      <c r="D14" s="8"/>
      <c r="E14" s="7" t="s">
        <v>16</v>
      </c>
    </row>
    <row r="15" spans="1:7" ht="14.1" customHeight="1" x14ac:dyDescent="0.3">
      <c r="A15" s="14" t="s">
        <v>1</v>
      </c>
      <c r="B15" s="16"/>
      <c r="C15" s="17" t="s">
        <v>15</v>
      </c>
      <c r="D15" s="8"/>
      <c r="E15" s="7" t="s">
        <v>14</v>
      </c>
    </row>
    <row r="16" spans="1:7" ht="14.1" customHeight="1" x14ac:dyDescent="0.3">
      <c r="A16" s="14"/>
      <c r="B16" s="16"/>
      <c r="C16" s="17" t="s">
        <v>1</v>
      </c>
      <c r="D16" s="8"/>
      <c r="E16" s="7"/>
    </row>
    <row r="17" spans="1:5" ht="14.1" customHeight="1" x14ac:dyDescent="0.3">
      <c r="A17" s="14"/>
      <c r="B17" s="16"/>
      <c r="C17" s="17" t="s">
        <v>1</v>
      </c>
      <c r="D17" s="8"/>
      <c r="E17" s="7"/>
    </row>
    <row r="18" spans="1:5" ht="14.1" customHeight="1" x14ac:dyDescent="0.3">
      <c r="A18" s="18" t="s">
        <v>13</v>
      </c>
      <c r="B18" s="16"/>
      <c r="C18" s="17" t="s">
        <v>1</v>
      </c>
      <c r="D18" s="8"/>
      <c r="E18" s="7"/>
    </row>
    <row r="19" spans="1:5" ht="14.1" customHeight="1" x14ac:dyDescent="0.3">
      <c r="A19" s="14" t="s">
        <v>1</v>
      </c>
      <c r="B19" s="19" t="s">
        <v>1</v>
      </c>
      <c r="C19" s="17" t="s">
        <v>1</v>
      </c>
      <c r="D19" s="8"/>
      <c r="E19" s="7"/>
    </row>
    <row r="20" spans="1:5" ht="14.1" customHeight="1" x14ac:dyDescent="0.3">
      <c r="A20" s="14"/>
      <c r="C20" s="17" t="s">
        <v>1</v>
      </c>
      <c r="D20" s="8"/>
      <c r="E20" s="7"/>
    </row>
    <row r="21" spans="1:5" ht="14.1" customHeight="1" x14ac:dyDescent="0.3">
      <c r="A21" s="14"/>
      <c r="B21" s="16"/>
      <c r="C21" s="17" t="s">
        <v>1</v>
      </c>
      <c r="D21" s="8"/>
      <c r="E21" s="7"/>
    </row>
    <row r="22" spans="1:5" ht="14.1" customHeight="1" x14ac:dyDescent="0.3">
      <c r="A22" s="14"/>
      <c r="B22" s="19" t="s">
        <v>12</v>
      </c>
      <c r="C22" s="17" t="s">
        <v>1</v>
      </c>
      <c r="D22" s="8"/>
      <c r="E22" s="7"/>
    </row>
    <row r="23" spans="1:5" ht="14.1" customHeight="1" x14ac:dyDescent="0.3">
      <c r="A23" s="18" t="s">
        <v>12</v>
      </c>
      <c r="B23" s="16"/>
      <c r="C23" s="17" t="s">
        <v>1</v>
      </c>
      <c r="D23" s="8"/>
      <c r="E23" s="7"/>
    </row>
    <row r="24" spans="1:5" ht="14.1" customHeight="1" x14ac:dyDescent="0.3">
      <c r="A24" s="14"/>
      <c r="B24" s="16"/>
      <c r="C24" s="17" t="s">
        <v>1</v>
      </c>
      <c r="D24" s="8"/>
      <c r="E24" s="7"/>
    </row>
    <row r="25" spans="1:5" ht="14.1" customHeight="1" x14ac:dyDescent="0.3">
      <c r="A25" s="14"/>
      <c r="B25" s="16"/>
      <c r="C25" s="15" t="s">
        <v>11</v>
      </c>
      <c r="D25" s="8"/>
      <c r="E25" s="7"/>
    </row>
    <row r="26" spans="1:5" ht="14.1" customHeight="1" x14ac:dyDescent="0.3">
      <c r="A26" s="14"/>
      <c r="B26" s="13" t="s">
        <v>10</v>
      </c>
      <c r="C26" s="12"/>
      <c r="D26" s="8"/>
      <c r="E26" s="7"/>
    </row>
    <row r="27" spans="1:5" ht="14.1" customHeight="1" x14ac:dyDescent="0.3">
      <c r="A27" s="10" t="s">
        <v>9</v>
      </c>
      <c r="B27" s="9"/>
      <c r="C27" s="9"/>
      <c r="D27" s="8"/>
      <c r="E27" s="7" t="s">
        <v>8</v>
      </c>
    </row>
    <row r="28" spans="1:5" ht="14.1" customHeight="1" x14ac:dyDescent="0.3">
      <c r="A28" s="10" t="s">
        <v>7</v>
      </c>
      <c r="B28" s="9"/>
      <c r="C28" s="9"/>
      <c r="D28" s="8"/>
      <c r="E28" s="7" t="s">
        <v>6</v>
      </c>
    </row>
    <row r="29" spans="1:5" ht="14.1" customHeight="1" x14ac:dyDescent="0.3">
      <c r="A29" s="10" t="s">
        <v>5</v>
      </c>
      <c r="B29" s="9"/>
      <c r="C29" s="9"/>
      <c r="D29" s="8"/>
      <c r="E29" s="7"/>
    </row>
    <row r="30" spans="1:5" ht="14.1" customHeight="1" x14ac:dyDescent="0.3">
      <c r="A30" s="10" t="s">
        <v>4</v>
      </c>
      <c r="B30" s="9"/>
      <c r="C30" s="9"/>
      <c r="D30" s="8"/>
      <c r="E30" s="11" t="s">
        <v>3</v>
      </c>
    </row>
    <row r="31" spans="1:5" ht="14.1" customHeight="1" x14ac:dyDescent="0.3">
      <c r="A31" s="10" t="s">
        <v>2</v>
      </c>
      <c r="B31" s="9"/>
      <c r="C31" s="9"/>
      <c r="D31" s="8"/>
      <c r="E31" s="7"/>
    </row>
    <row r="32" spans="1:5" ht="14.1" customHeight="1" x14ac:dyDescent="0.3">
      <c r="A32" s="10" t="s">
        <v>1</v>
      </c>
      <c r="B32" s="9"/>
      <c r="C32" s="9"/>
      <c r="D32" s="8"/>
      <c r="E32" s="7"/>
    </row>
    <row r="33" spans="1:5" ht="14.1" customHeight="1" x14ac:dyDescent="0.3">
      <c r="A33" s="10" t="s">
        <v>1</v>
      </c>
      <c r="B33" s="9"/>
      <c r="C33" s="9"/>
      <c r="D33" s="8"/>
      <c r="E33" s="7"/>
    </row>
    <row r="34" spans="1:5" ht="14.1" customHeight="1" x14ac:dyDescent="0.3">
      <c r="A34" s="10" t="s">
        <v>1</v>
      </c>
      <c r="B34" s="9"/>
      <c r="C34" s="9"/>
      <c r="D34" s="8"/>
      <c r="E34" s="7"/>
    </row>
    <row r="35" spans="1:5" ht="14.1" customHeight="1" x14ac:dyDescent="0.3">
      <c r="A35" s="10" t="s">
        <v>1</v>
      </c>
      <c r="B35" s="9"/>
      <c r="C35" s="9"/>
      <c r="D35" s="8"/>
      <c r="E35" s="7"/>
    </row>
    <row r="36" spans="1:5" ht="14.1" customHeight="1" thickBot="1" x14ac:dyDescent="0.35">
      <c r="A36" s="6" t="s">
        <v>0</v>
      </c>
      <c r="B36" s="5"/>
      <c r="C36" s="5"/>
      <c r="D36" s="4"/>
      <c r="E36" s="3"/>
    </row>
    <row r="37" spans="1:5" ht="14.1" customHeight="1" x14ac:dyDescent="0.3"/>
  </sheetData>
  <mergeCells count="17">
    <mergeCell ref="A30:C30"/>
    <mergeCell ref="A33:C33"/>
    <mergeCell ref="A34:C34"/>
    <mergeCell ref="A35:C35"/>
    <mergeCell ref="A36:C36"/>
    <mergeCell ref="B26:C26"/>
    <mergeCell ref="A27:C27"/>
    <mergeCell ref="A28:C28"/>
    <mergeCell ref="A29:C29"/>
    <mergeCell ref="A31:C31"/>
    <mergeCell ref="A32:C32"/>
    <mergeCell ref="B8:B10"/>
    <mergeCell ref="A1:E1"/>
    <mergeCell ref="A3:B3"/>
    <mergeCell ref="C3:D3"/>
    <mergeCell ref="A4:B4"/>
    <mergeCell ref="B5:B7"/>
  </mergeCells>
  <phoneticPr fontId="3" type="noConversion"/>
  <printOptions horizontalCentered="1" verticalCentered="1"/>
  <pageMargins left="0.74803149606299213" right="0.35433070866141736" top="0.19685039370078741" bottom="0.39370078740157483" header="0.51181102362204722" footer="0.39370078740157483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E42C-1914-4718-9B7F-E8CDD8371B38}">
  <dimension ref="A1:AA55"/>
  <sheetViews>
    <sheetView topLeftCell="D1" zoomScaleNormal="100" workbookViewId="0">
      <pane ySplit="3" topLeftCell="A4" activePane="bottomLeft" state="frozen"/>
      <selection activeCell="J20" sqref="J20"/>
      <selection pane="bottomLeft" activeCell="H31" sqref="H31:M34"/>
    </sheetView>
  </sheetViews>
  <sheetFormatPr defaultRowHeight="20.45" customHeight="1" x14ac:dyDescent="0.15"/>
  <cols>
    <col min="1" max="1" width="6.5" style="35" hidden="1" customWidth="1"/>
    <col min="2" max="2" width="7.375" style="36" hidden="1" customWidth="1"/>
    <col min="3" max="3" width="15.375" style="36" hidden="1" customWidth="1"/>
    <col min="4" max="4" width="40.75" style="36" customWidth="1"/>
    <col min="5" max="5" width="10.25" style="35" hidden="1" customWidth="1"/>
    <col min="6" max="6" width="4.75" style="38" customWidth="1"/>
    <col min="7" max="7" width="5.25" style="37" customWidth="1"/>
    <col min="8" max="8" width="14.625" style="37" customWidth="1"/>
    <col min="9" max="9" width="14.75" style="37" customWidth="1"/>
    <col min="10" max="10" width="5.75" style="37" hidden="1" customWidth="1"/>
    <col min="11" max="11" width="12.625" style="37" bestFit="1" customWidth="1"/>
    <col min="12" max="12" width="13" style="37" customWidth="1"/>
    <col min="13" max="14" width="10.625" style="37" customWidth="1"/>
    <col min="15" max="15" width="9.875" style="37" hidden="1" customWidth="1"/>
    <col min="16" max="16" width="14.875" style="37" customWidth="1"/>
    <col min="17" max="17" width="11.75" style="36" customWidth="1"/>
    <col min="18" max="16384" width="9" style="35"/>
  </cols>
  <sheetData>
    <row r="1" spans="1:27" ht="20.45" customHeight="1" x14ac:dyDescent="0.15">
      <c r="A1" s="35" t="s">
        <v>71</v>
      </c>
      <c r="B1" s="36" t="s">
        <v>70</v>
      </c>
      <c r="C1" s="36" t="s">
        <v>69</v>
      </c>
      <c r="D1" s="57" t="s">
        <v>68</v>
      </c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AA1" s="35" t="s">
        <v>67</v>
      </c>
    </row>
    <row r="2" spans="1:27" s="46" customFormat="1" ht="20.45" customHeight="1" x14ac:dyDescent="0.3">
      <c r="A2" s="51" t="s">
        <v>66</v>
      </c>
      <c r="B2" s="51" t="s">
        <v>65</v>
      </c>
      <c r="C2" s="51" t="s">
        <v>64</v>
      </c>
      <c r="D2" s="52" t="s">
        <v>63</v>
      </c>
      <c r="E2" s="55" t="s">
        <v>62</v>
      </c>
      <c r="F2" s="55" t="s">
        <v>61</v>
      </c>
      <c r="G2" s="53" t="s">
        <v>35</v>
      </c>
      <c r="H2" s="53" t="s">
        <v>60</v>
      </c>
      <c r="I2" s="53"/>
      <c r="J2" s="53" t="s">
        <v>59</v>
      </c>
      <c r="K2" s="53"/>
      <c r="L2" s="53"/>
      <c r="M2" s="53" t="s">
        <v>58</v>
      </c>
      <c r="N2" s="53"/>
      <c r="O2" s="54"/>
      <c r="P2" s="53" t="s">
        <v>57</v>
      </c>
      <c r="Q2" s="52" t="s">
        <v>56</v>
      </c>
    </row>
    <row r="3" spans="1:27" s="46" customFormat="1" ht="20.45" customHeight="1" x14ac:dyDescent="0.3">
      <c r="A3" s="51"/>
      <c r="B3" s="51"/>
      <c r="C3" s="51"/>
      <c r="D3" s="47"/>
      <c r="E3" s="50"/>
      <c r="F3" s="50"/>
      <c r="G3" s="48"/>
      <c r="H3" s="49" t="s">
        <v>55</v>
      </c>
      <c r="I3" s="49" t="s">
        <v>34</v>
      </c>
      <c r="J3" s="49" t="s">
        <v>35</v>
      </c>
      <c r="K3" s="49" t="s">
        <v>55</v>
      </c>
      <c r="L3" s="49" t="s">
        <v>34</v>
      </c>
      <c r="M3" s="49" t="s">
        <v>55</v>
      </c>
      <c r="N3" s="49" t="s">
        <v>34</v>
      </c>
      <c r="O3" s="49" t="s">
        <v>55</v>
      </c>
      <c r="P3" s="48"/>
      <c r="Q3" s="47"/>
    </row>
    <row r="4" spans="1:27" ht="20.45" customHeight="1" x14ac:dyDescent="0.15">
      <c r="B4" s="36" t="s">
        <v>53</v>
      </c>
      <c r="D4" s="45" t="s">
        <v>54</v>
      </c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3"/>
    </row>
    <row r="5" spans="1:27" ht="20.45" customHeight="1" x14ac:dyDescent="0.15">
      <c r="B5" s="36" t="s">
        <v>46</v>
      </c>
      <c r="D5" s="39" t="s">
        <v>52</v>
      </c>
      <c r="E5" s="42"/>
      <c r="F5" s="41" t="s">
        <v>47</v>
      </c>
      <c r="G5" s="40">
        <v>1</v>
      </c>
      <c r="H5" s="40"/>
      <c r="I5" s="40"/>
      <c r="J5" s="40"/>
      <c r="K5" s="40"/>
      <c r="L5" s="40"/>
      <c r="M5" s="40"/>
      <c r="N5" s="40">
        <f>G5*M5</f>
        <v>0</v>
      </c>
      <c r="O5" s="40"/>
      <c r="P5" s="40">
        <f>SUM(I5,L5,N5)</f>
        <v>0</v>
      </c>
      <c r="Q5" s="39"/>
    </row>
    <row r="6" spans="1:27" ht="20.45" customHeight="1" x14ac:dyDescent="0.15">
      <c r="D6" s="39"/>
      <c r="E6" s="42"/>
      <c r="F6" s="41"/>
      <c r="G6" s="40"/>
      <c r="H6" s="40"/>
      <c r="I6" s="40">
        <f>G6*H6</f>
        <v>0</v>
      </c>
      <c r="J6" s="40"/>
      <c r="K6" s="40"/>
      <c r="L6" s="40">
        <f>G6*K6</f>
        <v>0</v>
      </c>
      <c r="M6" s="40"/>
      <c r="N6" s="40">
        <f>G6*M6</f>
        <v>0</v>
      </c>
      <c r="O6" s="40"/>
      <c r="P6" s="40">
        <f>SUM(I6,L6,N6)</f>
        <v>0</v>
      </c>
      <c r="Q6" s="39"/>
    </row>
    <row r="7" spans="1:27" ht="20.45" customHeight="1" x14ac:dyDescent="0.15">
      <c r="D7" s="39"/>
      <c r="E7" s="42"/>
      <c r="F7" s="41"/>
      <c r="G7" s="40"/>
      <c r="H7" s="40"/>
      <c r="I7" s="40">
        <f>G7*H7</f>
        <v>0</v>
      </c>
      <c r="J7" s="40"/>
      <c r="K7" s="40"/>
      <c r="L7" s="40">
        <f>G7*K7</f>
        <v>0</v>
      </c>
      <c r="M7" s="40"/>
      <c r="N7" s="40">
        <f>G7*M7</f>
        <v>0</v>
      </c>
      <c r="O7" s="40"/>
      <c r="P7" s="40">
        <f>SUM(I7,L7,N7)</f>
        <v>0</v>
      </c>
      <c r="Q7" s="39"/>
    </row>
    <row r="8" spans="1:27" ht="20.45" customHeight="1" x14ac:dyDescent="0.15">
      <c r="D8" s="39"/>
      <c r="E8" s="42"/>
      <c r="F8" s="41"/>
      <c r="G8" s="40"/>
      <c r="H8" s="40"/>
      <c r="I8" s="40">
        <f>G8*H8</f>
        <v>0</v>
      </c>
      <c r="J8" s="40"/>
      <c r="K8" s="40"/>
      <c r="L8" s="40">
        <f>G8*K8</f>
        <v>0</v>
      </c>
      <c r="M8" s="40"/>
      <c r="N8" s="40">
        <f>G8*M8</f>
        <v>0</v>
      </c>
      <c r="O8" s="40"/>
      <c r="P8" s="40">
        <f>SUM(I8,L8,N8)</f>
        <v>0</v>
      </c>
      <c r="Q8" s="39"/>
    </row>
    <row r="9" spans="1:27" ht="20.45" customHeight="1" x14ac:dyDescent="0.15">
      <c r="D9" s="39"/>
      <c r="E9" s="42"/>
      <c r="F9" s="41"/>
      <c r="G9" s="40"/>
      <c r="H9" s="40"/>
      <c r="I9" s="40">
        <f>G9*H9</f>
        <v>0</v>
      </c>
      <c r="J9" s="40"/>
      <c r="K9" s="40"/>
      <c r="L9" s="40">
        <f>G9*K9</f>
        <v>0</v>
      </c>
      <c r="M9" s="40"/>
      <c r="N9" s="40">
        <f>G9*M9</f>
        <v>0</v>
      </c>
      <c r="O9" s="40"/>
      <c r="P9" s="40">
        <f>SUM(I9,L9,N9)</f>
        <v>0</v>
      </c>
      <c r="Q9" s="39"/>
    </row>
    <row r="10" spans="1:27" ht="20.45" customHeight="1" x14ac:dyDescent="0.15">
      <c r="D10" s="39"/>
      <c r="E10" s="42"/>
      <c r="F10" s="41"/>
      <c r="G10" s="40"/>
      <c r="H10" s="40"/>
      <c r="I10" s="40">
        <f>G10*H10</f>
        <v>0</v>
      </c>
      <c r="J10" s="40"/>
      <c r="K10" s="40"/>
      <c r="L10" s="40">
        <f>G10*K10</f>
        <v>0</v>
      </c>
      <c r="M10" s="40"/>
      <c r="N10" s="40">
        <f>G10*M10</f>
        <v>0</v>
      </c>
      <c r="O10" s="40"/>
      <c r="P10" s="40">
        <f>SUM(I10,L10,N10)</f>
        <v>0</v>
      </c>
      <c r="Q10" s="39"/>
    </row>
    <row r="11" spans="1:27" ht="20.45" customHeight="1" x14ac:dyDescent="0.15">
      <c r="D11" s="39"/>
      <c r="E11" s="42"/>
      <c r="F11" s="41"/>
      <c r="G11" s="40"/>
      <c r="H11" s="40"/>
      <c r="I11" s="40">
        <f>G11*H11</f>
        <v>0</v>
      </c>
      <c r="J11" s="40"/>
      <c r="K11" s="40"/>
      <c r="L11" s="40">
        <f>G11*K11</f>
        <v>0</v>
      </c>
      <c r="M11" s="40"/>
      <c r="N11" s="40">
        <f>G11*M11</f>
        <v>0</v>
      </c>
      <c r="O11" s="40"/>
      <c r="P11" s="40">
        <f>SUM(I11,L11,N11)</f>
        <v>0</v>
      </c>
      <c r="Q11" s="39"/>
    </row>
    <row r="12" spans="1:27" ht="20.45" customHeight="1" x14ac:dyDescent="0.15">
      <c r="D12" s="39"/>
      <c r="E12" s="42"/>
      <c r="F12" s="41"/>
      <c r="G12" s="40"/>
      <c r="H12" s="40"/>
      <c r="I12" s="40">
        <f>G12*H12</f>
        <v>0</v>
      </c>
      <c r="J12" s="40"/>
      <c r="K12" s="40"/>
      <c r="L12" s="40">
        <f>G12*K12</f>
        <v>0</v>
      </c>
      <c r="M12" s="40"/>
      <c r="N12" s="40">
        <f>G12*M12</f>
        <v>0</v>
      </c>
      <c r="O12" s="40"/>
      <c r="P12" s="40">
        <f>SUM(I12,L12,N12)</f>
        <v>0</v>
      </c>
      <c r="Q12" s="39"/>
    </row>
    <row r="13" spans="1:27" ht="20.45" customHeight="1" x14ac:dyDescent="0.15">
      <c r="D13" s="39"/>
      <c r="E13" s="42"/>
      <c r="F13" s="41"/>
      <c r="G13" s="40"/>
      <c r="H13" s="40"/>
      <c r="I13" s="40">
        <f>G13*H13</f>
        <v>0</v>
      </c>
      <c r="J13" s="40"/>
      <c r="K13" s="40"/>
      <c r="L13" s="40">
        <f>G13*K13</f>
        <v>0</v>
      </c>
      <c r="M13" s="40"/>
      <c r="N13" s="40">
        <f>G13*M13</f>
        <v>0</v>
      </c>
      <c r="O13" s="40"/>
      <c r="P13" s="40">
        <f>SUM(I13,L13,N13)</f>
        <v>0</v>
      </c>
      <c r="Q13" s="39"/>
    </row>
    <row r="14" spans="1:27" ht="20.45" customHeight="1" x14ac:dyDescent="0.15">
      <c r="D14" s="39"/>
      <c r="E14" s="42"/>
      <c r="F14" s="41"/>
      <c r="G14" s="40"/>
      <c r="H14" s="40"/>
      <c r="I14" s="40">
        <f>G14*H14</f>
        <v>0</v>
      </c>
      <c r="J14" s="40"/>
      <c r="K14" s="40"/>
      <c r="L14" s="40">
        <f>G14*K14</f>
        <v>0</v>
      </c>
      <c r="M14" s="40"/>
      <c r="N14" s="40">
        <f>G14*M14</f>
        <v>0</v>
      </c>
      <c r="O14" s="40"/>
      <c r="P14" s="40">
        <f>SUM(I14,L14,N14)</f>
        <v>0</v>
      </c>
      <c r="Q14" s="39"/>
    </row>
    <row r="15" spans="1:27" ht="20.45" customHeight="1" x14ac:dyDescent="0.15">
      <c r="D15" s="39"/>
      <c r="E15" s="42"/>
      <c r="F15" s="41"/>
      <c r="G15" s="40"/>
      <c r="H15" s="40"/>
      <c r="I15" s="40">
        <f>G15*H15</f>
        <v>0</v>
      </c>
      <c r="J15" s="40"/>
      <c r="K15" s="40"/>
      <c r="L15" s="40">
        <f>G15*K15</f>
        <v>0</v>
      </c>
      <c r="M15" s="40"/>
      <c r="N15" s="40">
        <f>G15*M15</f>
        <v>0</v>
      </c>
      <c r="O15" s="40"/>
      <c r="P15" s="40">
        <f>SUM(I15,L15,N15)</f>
        <v>0</v>
      </c>
      <c r="Q15" s="39"/>
    </row>
    <row r="16" spans="1:27" ht="20.45" customHeight="1" x14ac:dyDescent="0.15">
      <c r="D16" s="39"/>
      <c r="E16" s="42"/>
      <c r="F16" s="41"/>
      <c r="G16" s="40"/>
      <c r="H16" s="40"/>
      <c r="I16" s="40">
        <f>G16*H16</f>
        <v>0</v>
      </c>
      <c r="J16" s="40"/>
      <c r="K16" s="40"/>
      <c r="L16" s="40">
        <f>G16*K16</f>
        <v>0</v>
      </c>
      <c r="M16" s="40"/>
      <c r="N16" s="40">
        <f>G16*M16</f>
        <v>0</v>
      </c>
      <c r="O16" s="40"/>
      <c r="P16" s="40">
        <f>SUM(I16,L16,N16)</f>
        <v>0</v>
      </c>
      <c r="Q16" s="39"/>
    </row>
    <row r="17" spans="2:17" ht="20.45" customHeight="1" x14ac:dyDescent="0.15">
      <c r="D17" s="39"/>
      <c r="E17" s="42"/>
      <c r="F17" s="41"/>
      <c r="G17" s="40"/>
      <c r="H17" s="40"/>
      <c r="I17" s="40">
        <f>G17*H17</f>
        <v>0</v>
      </c>
      <c r="J17" s="40"/>
      <c r="K17" s="40"/>
      <c r="L17" s="40">
        <f>G17*K17</f>
        <v>0</v>
      </c>
      <c r="M17" s="40"/>
      <c r="N17" s="40">
        <f>G17*M17</f>
        <v>0</v>
      </c>
      <c r="O17" s="40"/>
      <c r="P17" s="40">
        <f>SUM(I17,L17,N17)</f>
        <v>0</v>
      </c>
      <c r="Q17" s="39"/>
    </row>
    <row r="18" spans="2:17" ht="20.45" customHeight="1" x14ac:dyDescent="0.15">
      <c r="D18" s="39"/>
      <c r="E18" s="42"/>
      <c r="F18" s="41"/>
      <c r="G18" s="40"/>
      <c r="H18" s="40"/>
      <c r="I18" s="40">
        <f>G18*H18</f>
        <v>0</v>
      </c>
      <c r="J18" s="40"/>
      <c r="K18" s="40"/>
      <c r="L18" s="40">
        <f>G18*K18</f>
        <v>0</v>
      </c>
      <c r="M18" s="40"/>
      <c r="N18" s="40">
        <f>G18*M18</f>
        <v>0</v>
      </c>
      <c r="O18" s="40"/>
      <c r="P18" s="40">
        <f>SUM(I18,L18,N18)</f>
        <v>0</v>
      </c>
      <c r="Q18" s="39"/>
    </row>
    <row r="19" spans="2:17" ht="20.45" customHeight="1" x14ac:dyDescent="0.15">
      <c r="D19" s="39"/>
      <c r="E19" s="42"/>
      <c r="F19" s="41"/>
      <c r="G19" s="40"/>
      <c r="H19" s="40"/>
      <c r="I19" s="40">
        <f>G19*H19</f>
        <v>0</v>
      </c>
      <c r="J19" s="40"/>
      <c r="K19" s="40"/>
      <c r="L19" s="40">
        <f>G19*K19</f>
        <v>0</v>
      </c>
      <c r="M19" s="40"/>
      <c r="N19" s="40">
        <f>G19*M19</f>
        <v>0</v>
      </c>
      <c r="O19" s="40"/>
      <c r="P19" s="40">
        <f>SUM(I19,L19,N19)</f>
        <v>0</v>
      </c>
      <c r="Q19" s="39"/>
    </row>
    <row r="20" spans="2:17" ht="20.45" customHeight="1" x14ac:dyDescent="0.15">
      <c r="D20" s="39"/>
      <c r="E20" s="42"/>
      <c r="F20" s="41"/>
      <c r="G20" s="40"/>
      <c r="H20" s="40"/>
      <c r="I20" s="40">
        <f>G20*H20</f>
        <v>0</v>
      </c>
      <c r="J20" s="40"/>
      <c r="K20" s="40"/>
      <c r="L20" s="40">
        <f>G20*K20</f>
        <v>0</v>
      </c>
      <c r="M20" s="40"/>
      <c r="N20" s="40">
        <f>G20*M20</f>
        <v>0</v>
      </c>
      <c r="O20" s="40"/>
      <c r="P20" s="40">
        <f>SUM(I20,L20,N20)</f>
        <v>0</v>
      </c>
      <c r="Q20" s="39"/>
    </row>
    <row r="21" spans="2:17" ht="20.45" customHeight="1" x14ac:dyDescent="0.15">
      <c r="D21" s="39"/>
      <c r="E21" s="42"/>
      <c r="F21" s="41"/>
      <c r="G21" s="40"/>
      <c r="H21" s="40"/>
      <c r="I21" s="40">
        <f>G21*H21</f>
        <v>0</v>
      </c>
      <c r="J21" s="40"/>
      <c r="K21" s="40"/>
      <c r="L21" s="40">
        <f>G21*K21</f>
        <v>0</v>
      </c>
      <c r="M21" s="40"/>
      <c r="N21" s="40">
        <f>G21*M21</f>
        <v>0</v>
      </c>
      <c r="O21" s="40"/>
      <c r="P21" s="40">
        <f>SUM(I21,L21,N21)</f>
        <v>0</v>
      </c>
      <c r="Q21" s="39"/>
    </row>
    <row r="22" spans="2:17" ht="20.45" customHeight="1" x14ac:dyDescent="0.15">
      <c r="D22" s="39"/>
      <c r="E22" s="42"/>
      <c r="F22" s="41"/>
      <c r="G22" s="40"/>
      <c r="H22" s="40"/>
      <c r="I22" s="40">
        <f>G22*H22</f>
        <v>0</v>
      </c>
      <c r="J22" s="40"/>
      <c r="K22" s="40"/>
      <c r="L22" s="40">
        <f>G22*K22</f>
        <v>0</v>
      </c>
      <c r="M22" s="40"/>
      <c r="N22" s="40">
        <f>G22*M22</f>
        <v>0</v>
      </c>
      <c r="O22" s="40"/>
      <c r="P22" s="40">
        <f>SUM(I22,L22,N22)</f>
        <v>0</v>
      </c>
      <c r="Q22" s="39"/>
    </row>
    <row r="23" spans="2:17" ht="20.45" customHeight="1" x14ac:dyDescent="0.15">
      <c r="D23" s="39"/>
      <c r="E23" s="42"/>
      <c r="F23" s="41"/>
      <c r="G23" s="40"/>
      <c r="H23" s="40"/>
      <c r="I23" s="40">
        <f>G23*H23</f>
        <v>0</v>
      </c>
      <c r="J23" s="40"/>
      <c r="K23" s="40"/>
      <c r="L23" s="40">
        <f>G23*K23</f>
        <v>0</v>
      </c>
      <c r="M23" s="40"/>
      <c r="N23" s="40">
        <f>G23*M23</f>
        <v>0</v>
      </c>
      <c r="O23" s="40"/>
      <c r="P23" s="40">
        <f>SUM(I23,L23,N23)</f>
        <v>0</v>
      </c>
      <c r="Q23" s="39"/>
    </row>
    <row r="24" spans="2:17" ht="20.45" customHeight="1" x14ac:dyDescent="0.15">
      <c r="D24" s="39"/>
      <c r="E24" s="42"/>
      <c r="F24" s="41"/>
      <c r="G24" s="40"/>
      <c r="H24" s="40"/>
      <c r="I24" s="40">
        <f>G24*H24</f>
        <v>0</v>
      </c>
      <c r="J24" s="40"/>
      <c r="K24" s="40"/>
      <c r="L24" s="40">
        <f>G24*K24</f>
        <v>0</v>
      </c>
      <c r="M24" s="40"/>
      <c r="N24" s="40">
        <f>G24*M24</f>
        <v>0</v>
      </c>
      <c r="O24" s="40"/>
      <c r="P24" s="40">
        <f>SUM(I24,L24,N24)</f>
        <v>0</v>
      </c>
      <c r="Q24" s="39"/>
    </row>
    <row r="25" spans="2:17" ht="20.45" customHeight="1" x14ac:dyDescent="0.15">
      <c r="D25" s="39"/>
      <c r="E25" s="42"/>
      <c r="F25" s="41"/>
      <c r="G25" s="40"/>
      <c r="H25" s="40"/>
      <c r="I25" s="40">
        <f>G25*H25</f>
        <v>0</v>
      </c>
      <c r="J25" s="40"/>
      <c r="K25" s="40"/>
      <c r="L25" s="40">
        <f>G25*K25</f>
        <v>0</v>
      </c>
      <c r="M25" s="40"/>
      <c r="N25" s="40">
        <f>G25*M25</f>
        <v>0</v>
      </c>
      <c r="O25" s="40"/>
      <c r="P25" s="40">
        <f>SUM(I25,L25,N25)</f>
        <v>0</v>
      </c>
      <c r="Q25" s="39"/>
    </row>
    <row r="26" spans="2:17" ht="20.45" customHeight="1" x14ac:dyDescent="0.15">
      <c r="D26" s="39"/>
      <c r="E26" s="42"/>
      <c r="F26" s="41"/>
      <c r="G26" s="40"/>
      <c r="H26" s="40"/>
      <c r="I26" s="40">
        <f>G26*H26</f>
        <v>0</v>
      </c>
      <c r="J26" s="40"/>
      <c r="K26" s="40"/>
      <c r="L26" s="40">
        <f>G26*K26</f>
        <v>0</v>
      </c>
      <c r="M26" s="40"/>
      <c r="N26" s="40">
        <f>G26*M26</f>
        <v>0</v>
      </c>
      <c r="O26" s="40"/>
      <c r="P26" s="40">
        <f>SUM(I26,L26,N26)</f>
        <v>0</v>
      </c>
      <c r="Q26" s="39"/>
    </row>
    <row r="27" spans="2:17" ht="20.45" customHeight="1" x14ac:dyDescent="0.15">
      <c r="D27" s="39"/>
      <c r="E27" s="42"/>
      <c r="F27" s="41"/>
      <c r="G27" s="40"/>
      <c r="H27" s="40"/>
      <c r="I27" s="40">
        <f>G27*H27</f>
        <v>0</v>
      </c>
      <c r="J27" s="40"/>
      <c r="K27" s="40"/>
      <c r="L27" s="40">
        <f>G27*K27</f>
        <v>0</v>
      </c>
      <c r="M27" s="40"/>
      <c r="N27" s="40">
        <f>G27*M27</f>
        <v>0</v>
      </c>
      <c r="O27" s="40"/>
      <c r="P27" s="40">
        <f>SUM(I27,L27,N27)</f>
        <v>0</v>
      </c>
      <c r="Q27" s="39"/>
    </row>
    <row r="28" spans="2:17" ht="20.45" customHeight="1" x14ac:dyDescent="0.15">
      <c r="D28" s="39"/>
      <c r="E28" s="42"/>
      <c r="F28" s="41"/>
      <c r="G28" s="40"/>
      <c r="H28" s="40"/>
      <c r="I28" s="40">
        <f>G28*H28</f>
        <v>0</v>
      </c>
      <c r="J28" s="40"/>
      <c r="K28" s="40"/>
      <c r="L28" s="40">
        <f>G28*K28</f>
        <v>0</v>
      </c>
      <c r="M28" s="40"/>
      <c r="N28" s="40">
        <f>G28*M28</f>
        <v>0</v>
      </c>
      <c r="O28" s="40"/>
      <c r="P28" s="40">
        <f>SUM(I28,L28,N28)</f>
        <v>0</v>
      </c>
      <c r="Q28" s="39"/>
    </row>
    <row r="29" spans="2:17" ht="20.45" customHeight="1" x14ac:dyDescent="0.15">
      <c r="C29" s="36" t="s">
        <v>45</v>
      </c>
      <c r="D29" s="39" t="s">
        <v>44</v>
      </c>
      <c r="E29" s="42"/>
      <c r="F29" s="41"/>
      <c r="G29" s="40"/>
      <c r="H29" s="40"/>
      <c r="I29" s="40">
        <f>TRUNC(SUM(I4:I28))</f>
        <v>0</v>
      </c>
      <c r="J29" s="40"/>
      <c r="K29" s="40"/>
      <c r="L29" s="40">
        <f>TRUNC(SUM(L4:L28))</f>
        <v>0</v>
      </c>
      <c r="M29" s="40"/>
      <c r="N29" s="40">
        <f>TRUNC(SUM(N4:N28))</f>
        <v>0</v>
      </c>
      <c r="O29" s="40"/>
      <c r="P29" s="40">
        <f>TRUNC(SUM(P4:P28))</f>
        <v>0</v>
      </c>
      <c r="Q29" s="39"/>
    </row>
    <row r="30" spans="2:17" ht="20.45" customHeight="1" x14ac:dyDescent="0.15">
      <c r="B30" s="36" t="s">
        <v>53</v>
      </c>
      <c r="D30" s="45" t="s">
        <v>52</v>
      </c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3"/>
    </row>
    <row r="31" spans="2:17" ht="20.45" customHeight="1" x14ac:dyDescent="0.15">
      <c r="B31" s="36" t="s">
        <v>51</v>
      </c>
      <c r="D31" s="39" t="s">
        <v>50</v>
      </c>
      <c r="E31" s="42"/>
      <c r="F31" s="41" t="s">
        <v>47</v>
      </c>
      <c r="G31" s="40">
        <v>1</v>
      </c>
      <c r="H31" s="40"/>
      <c r="I31" s="40"/>
      <c r="J31" s="40"/>
      <c r="K31" s="40"/>
      <c r="L31" s="40"/>
      <c r="M31" s="40"/>
      <c r="N31" s="40">
        <f>G31*M31</f>
        <v>0</v>
      </c>
      <c r="O31" s="40"/>
      <c r="P31" s="40">
        <f>SUM(I31,L31,N31)</f>
        <v>0</v>
      </c>
      <c r="Q31" s="39"/>
    </row>
    <row r="32" spans="2:17" ht="20.45" customHeight="1" x14ac:dyDescent="0.15">
      <c r="B32" s="36" t="s">
        <v>49</v>
      </c>
      <c r="D32" s="39" t="s">
        <v>48</v>
      </c>
      <c r="E32" s="42"/>
      <c r="F32" s="41" t="s">
        <v>47</v>
      </c>
      <c r="G32" s="40">
        <v>1</v>
      </c>
      <c r="H32" s="40"/>
      <c r="I32" s="40"/>
      <c r="J32" s="40"/>
      <c r="K32" s="40"/>
      <c r="L32" s="40"/>
      <c r="M32" s="40"/>
      <c r="N32" s="40">
        <f>G32*M32</f>
        <v>0</v>
      </c>
      <c r="O32" s="40"/>
      <c r="P32" s="40">
        <f>SUM(I32,L32,N32)</f>
        <v>0</v>
      </c>
      <c r="Q32" s="39"/>
    </row>
    <row r="33" spans="4:17" ht="20.45" customHeight="1" x14ac:dyDescent="0.15">
      <c r="D33" s="39"/>
      <c r="E33" s="42"/>
      <c r="F33" s="41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39"/>
    </row>
    <row r="34" spans="4:17" ht="20.45" customHeight="1" x14ac:dyDescent="0.15">
      <c r="D34" s="39"/>
      <c r="E34" s="42"/>
      <c r="F34" s="41"/>
      <c r="G34" s="40"/>
      <c r="H34" s="40"/>
      <c r="I34" s="40"/>
      <c r="J34" s="40"/>
      <c r="K34" s="40"/>
      <c r="L34" s="40"/>
      <c r="M34" s="40"/>
      <c r="N34" s="40">
        <f>G34*M34</f>
        <v>0</v>
      </c>
      <c r="O34" s="40"/>
      <c r="P34" s="40">
        <f>SUM(I34,L34,N34)</f>
        <v>0</v>
      </c>
      <c r="Q34" s="39"/>
    </row>
    <row r="35" spans="4:17" ht="20.45" customHeight="1" x14ac:dyDescent="0.15">
      <c r="D35" s="39"/>
      <c r="E35" s="42"/>
      <c r="F35" s="41"/>
      <c r="G35" s="40"/>
      <c r="H35" s="40"/>
      <c r="I35" s="40">
        <f>G35*H35</f>
        <v>0</v>
      </c>
      <c r="J35" s="40"/>
      <c r="K35" s="40"/>
      <c r="L35" s="40">
        <f>G35*K35</f>
        <v>0</v>
      </c>
      <c r="M35" s="40"/>
      <c r="N35" s="40">
        <f>G35*M35</f>
        <v>0</v>
      </c>
      <c r="O35" s="40"/>
      <c r="P35" s="40">
        <f>SUM(I35,L35,N35)</f>
        <v>0</v>
      </c>
      <c r="Q35" s="39"/>
    </row>
    <row r="36" spans="4:17" ht="20.45" customHeight="1" x14ac:dyDescent="0.15">
      <c r="D36" s="39"/>
      <c r="E36" s="42"/>
      <c r="F36" s="41"/>
      <c r="G36" s="40"/>
      <c r="H36" s="40"/>
      <c r="I36" s="40">
        <f>G36*H36</f>
        <v>0</v>
      </c>
      <c r="J36" s="40"/>
      <c r="K36" s="40"/>
      <c r="L36" s="40">
        <f>G36*K36</f>
        <v>0</v>
      </c>
      <c r="M36" s="40"/>
      <c r="N36" s="40">
        <f>G36*M36</f>
        <v>0</v>
      </c>
      <c r="O36" s="40"/>
      <c r="P36" s="40">
        <f>SUM(I36,L36,N36)</f>
        <v>0</v>
      </c>
      <c r="Q36" s="39"/>
    </row>
    <row r="37" spans="4:17" ht="20.45" customHeight="1" x14ac:dyDescent="0.15">
      <c r="D37" s="39"/>
      <c r="E37" s="42"/>
      <c r="F37" s="41"/>
      <c r="G37" s="40"/>
      <c r="H37" s="40"/>
      <c r="I37" s="40">
        <f>G37*H37</f>
        <v>0</v>
      </c>
      <c r="J37" s="40"/>
      <c r="K37" s="40"/>
      <c r="L37" s="40">
        <f>G37*K37</f>
        <v>0</v>
      </c>
      <c r="M37" s="40"/>
      <c r="N37" s="40">
        <f>G37*M37</f>
        <v>0</v>
      </c>
      <c r="O37" s="40"/>
      <c r="P37" s="40">
        <f>SUM(I37,L37,N37)</f>
        <v>0</v>
      </c>
      <c r="Q37" s="39"/>
    </row>
    <row r="38" spans="4:17" ht="20.45" customHeight="1" x14ac:dyDescent="0.15">
      <c r="D38" s="39"/>
      <c r="E38" s="42"/>
      <c r="F38" s="41"/>
      <c r="G38" s="40"/>
      <c r="H38" s="40"/>
      <c r="I38" s="40">
        <f>G38*H38</f>
        <v>0</v>
      </c>
      <c r="J38" s="40"/>
      <c r="K38" s="40"/>
      <c r="L38" s="40">
        <f>G38*K38</f>
        <v>0</v>
      </c>
      <c r="M38" s="40"/>
      <c r="N38" s="40">
        <f>G38*M38</f>
        <v>0</v>
      </c>
      <c r="O38" s="40"/>
      <c r="P38" s="40">
        <f>SUM(I38,L38,N38)</f>
        <v>0</v>
      </c>
      <c r="Q38" s="39"/>
    </row>
    <row r="39" spans="4:17" ht="20.45" customHeight="1" x14ac:dyDescent="0.15">
      <c r="D39" s="39"/>
      <c r="E39" s="42"/>
      <c r="F39" s="41"/>
      <c r="G39" s="40"/>
      <c r="H39" s="40"/>
      <c r="I39" s="40">
        <f>G39*H39</f>
        <v>0</v>
      </c>
      <c r="J39" s="40"/>
      <c r="K39" s="40"/>
      <c r="L39" s="40">
        <f>G39*K39</f>
        <v>0</v>
      </c>
      <c r="M39" s="40"/>
      <c r="N39" s="40">
        <f>G39*M39</f>
        <v>0</v>
      </c>
      <c r="O39" s="40"/>
      <c r="P39" s="40">
        <f>SUM(I39,L39,N39)</f>
        <v>0</v>
      </c>
      <c r="Q39" s="39"/>
    </row>
    <row r="40" spans="4:17" ht="20.45" customHeight="1" x14ac:dyDescent="0.15">
      <c r="D40" s="39"/>
      <c r="E40" s="42"/>
      <c r="F40" s="41"/>
      <c r="G40" s="40"/>
      <c r="H40" s="40"/>
      <c r="I40" s="40">
        <f>G40*H40</f>
        <v>0</v>
      </c>
      <c r="J40" s="40"/>
      <c r="K40" s="40"/>
      <c r="L40" s="40">
        <f>G40*K40</f>
        <v>0</v>
      </c>
      <c r="M40" s="40"/>
      <c r="N40" s="40">
        <f>G40*M40</f>
        <v>0</v>
      </c>
      <c r="O40" s="40"/>
      <c r="P40" s="40">
        <f>SUM(I40,L40,N40)</f>
        <v>0</v>
      </c>
      <c r="Q40" s="39"/>
    </row>
    <row r="41" spans="4:17" ht="20.45" customHeight="1" x14ac:dyDescent="0.15">
      <c r="D41" s="39"/>
      <c r="E41" s="42"/>
      <c r="F41" s="41"/>
      <c r="G41" s="40"/>
      <c r="H41" s="40"/>
      <c r="I41" s="40">
        <f>G41*H41</f>
        <v>0</v>
      </c>
      <c r="J41" s="40"/>
      <c r="K41" s="40"/>
      <c r="L41" s="40">
        <f>G41*K41</f>
        <v>0</v>
      </c>
      <c r="M41" s="40"/>
      <c r="N41" s="40">
        <f>G41*M41</f>
        <v>0</v>
      </c>
      <c r="O41" s="40"/>
      <c r="P41" s="40">
        <f>SUM(I41,L41,N41)</f>
        <v>0</v>
      </c>
      <c r="Q41" s="39"/>
    </row>
    <row r="42" spans="4:17" ht="20.45" customHeight="1" x14ac:dyDescent="0.15">
      <c r="D42" s="39"/>
      <c r="E42" s="42"/>
      <c r="F42" s="41"/>
      <c r="G42" s="40"/>
      <c r="H42" s="40"/>
      <c r="I42" s="40">
        <f>G42*H42</f>
        <v>0</v>
      </c>
      <c r="J42" s="40"/>
      <c r="K42" s="40"/>
      <c r="L42" s="40">
        <f>G42*K42</f>
        <v>0</v>
      </c>
      <c r="M42" s="40"/>
      <c r="N42" s="40">
        <f>G42*M42</f>
        <v>0</v>
      </c>
      <c r="O42" s="40"/>
      <c r="P42" s="40">
        <f>SUM(I42,L42,N42)</f>
        <v>0</v>
      </c>
      <c r="Q42" s="39"/>
    </row>
    <row r="43" spans="4:17" ht="20.45" customHeight="1" x14ac:dyDescent="0.15">
      <c r="D43" s="39"/>
      <c r="E43" s="42"/>
      <c r="F43" s="41"/>
      <c r="G43" s="40"/>
      <c r="H43" s="40"/>
      <c r="I43" s="40">
        <f>G43*H43</f>
        <v>0</v>
      </c>
      <c r="J43" s="40"/>
      <c r="K43" s="40"/>
      <c r="L43" s="40">
        <f>G43*K43</f>
        <v>0</v>
      </c>
      <c r="M43" s="40"/>
      <c r="N43" s="40">
        <f>G43*M43</f>
        <v>0</v>
      </c>
      <c r="O43" s="40"/>
      <c r="P43" s="40">
        <f>SUM(I43,L43,N43)</f>
        <v>0</v>
      </c>
      <c r="Q43" s="39"/>
    </row>
    <row r="44" spans="4:17" ht="20.45" customHeight="1" x14ac:dyDescent="0.15">
      <c r="D44" s="39"/>
      <c r="E44" s="42"/>
      <c r="F44" s="41"/>
      <c r="G44" s="40"/>
      <c r="H44" s="40"/>
      <c r="I44" s="40">
        <f>G44*H44</f>
        <v>0</v>
      </c>
      <c r="J44" s="40"/>
      <c r="K44" s="40"/>
      <c r="L44" s="40">
        <f>G44*K44</f>
        <v>0</v>
      </c>
      <c r="M44" s="40"/>
      <c r="N44" s="40">
        <f>G44*M44</f>
        <v>0</v>
      </c>
      <c r="O44" s="40"/>
      <c r="P44" s="40">
        <f>SUM(I44,L44,N44)</f>
        <v>0</v>
      </c>
      <c r="Q44" s="39"/>
    </row>
    <row r="45" spans="4:17" ht="20.45" customHeight="1" x14ac:dyDescent="0.15">
      <c r="D45" s="39"/>
      <c r="E45" s="42"/>
      <c r="F45" s="41"/>
      <c r="G45" s="40"/>
      <c r="H45" s="40"/>
      <c r="I45" s="40">
        <f>G45*H45</f>
        <v>0</v>
      </c>
      <c r="J45" s="40"/>
      <c r="K45" s="40"/>
      <c r="L45" s="40">
        <f>G45*K45</f>
        <v>0</v>
      </c>
      <c r="M45" s="40"/>
      <c r="N45" s="40">
        <f>G45*M45</f>
        <v>0</v>
      </c>
      <c r="O45" s="40"/>
      <c r="P45" s="40">
        <f>SUM(I45,L45,N45)</f>
        <v>0</v>
      </c>
      <c r="Q45" s="39"/>
    </row>
    <row r="46" spans="4:17" ht="20.45" customHeight="1" x14ac:dyDescent="0.15">
      <c r="D46" s="39"/>
      <c r="E46" s="42"/>
      <c r="F46" s="41"/>
      <c r="G46" s="40"/>
      <c r="H46" s="40"/>
      <c r="I46" s="40">
        <f>G46*H46</f>
        <v>0</v>
      </c>
      <c r="J46" s="40"/>
      <c r="K46" s="40"/>
      <c r="L46" s="40">
        <f>G46*K46</f>
        <v>0</v>
      </c>
      <c r="M46" s="40"/>
      <c r="N46" s="40">
        <f>G46*M46</f>
        <v>0</v>
      </c>
      <c r="O46" s="40"/>
      <c r="P46" s="40">
        <f>SUM(I46,L46,N46)</f>
        <v>0</v>
      </c>
      <c r="Q46" s="39"/>
    </row>
    <row r="47" spans="4:17" ht="20.45" customHeight="1" x14ac:dyDescent="0.15">
      <c r="D47" s="39"/>
      <c r="E47" s="42"/>
      <c r="F47" s="41"/>
      <c r="G47" s="40"/>
      <c r="H47" s="40"/>
      <c r="I47" s="40">
        <f>G47*H47</f>
        <v>0</v>
      </c>
      <c r="J47" s="40"/>
      <c r="K47" s="40"/>
      <c r="L47" s="40">
        <f>G47*K47</f>
        <v>0</v>
      </c>
      <c r="M47" s="40"/>
      <c r="N47" s="40">
        <f>G47*M47</f>
        <v>0</v>
      </c>
      <c r="O47" s="40"/>
      <c r="P47" s="40">
        <f>SUM(I47,L47,N47)</f>
        <v>0</v>
      </c>
      <c r="Q47" s="39"/>
    </row>
    <row r="48" spans="4:17" ht="20.45" customHeight="1" x14ac:dyDescent="0.15">
      <c r="D48" s="39"/>
      <c r="E48" s="42"/>
      <c r="F48" s="41"/>
      <c r="G48" s="40"/>
      <c r="H48" s="40"/>
      <c r="I48" s="40">
        <f>G48*H48</f>
        <v>0</v>
      </c>
      <c r="J48" s="40"/>
      <c r="K48" s="40"/>
      <c r="L48" s="40">
        <f>G48*K48</f>
        <v>0</v>
      </c>
      <c r="M48" s="40"/>
      <c r="N48" s="40">
        <f>G48*M48</f>
        <v>0</v>
      </c>
      <c r="O48" s="40"/>
      <c r="P48" s="40">
        <f>SUM(I48,L48,N48)</f>
        <v>0</v>
      </c>
      <c r="Q48" s="39"/>
    </row>
    <row r="49" spans="2:17" ht="20.45" customHeight="1" x14ac:dyDescent="0.15">
      <c r="D49" s="39"/>
      <c r="E49" s="42"/>
      <c r="F49" s="41"/>
      <c r="G49" s="40"/>
      <c r="H49" s="40"/>
      <c r="I49" s="40">
        <f>G49*H49</f>
        <v>0</v>
      </c>
      <c r="J49" s="40"/>
      <c r="K49" s="40"/>
      <c r="L49" s="40">
        <f>G49*K49</f>
        <v>0</v>
      </c>
      <c r="M49" s="40"/>
      <c r="N49" s="40">
        <f>G49*M49</f>
        <v>0</v>
      </c>
      <c r="O49" s="40"/>
      <c r="P49" s="40">
        <f>SUM(I49,L49,N49)</f>
        <v>0</v>
      </c>
      <c r="Q49" s="39"/>
    </row>
    <row r="50" spans="2:17" ht="20.45" customHeight="1" x14ac:dyDescent="0.15">
      <c r="D50" s="39"/>
      <c r="E50" s="42"/>
      <c r="F50" s="41"/>
      <c r="G50" s="40"/>
      <c r="H50" s="40"/>
      <c r="I50" s="40">
        <f>G50*H50</f>
        <v>0</v>
      </c>
      <c r="J50" s="40"/>
      <c r="K50" s="40"/>
      <c r="L50" s="40">
        <f>G50*K50</f>
        <v>0</v>
      </c>
      <c r="M50" s="40"/>
      <c r="N50" s="40">
        <f>G50*M50</f>
        <v>0</v>
      </c>
      <c r="O50" s="40"/>
      <c r="P50" s="40">
        <f>SUM(I50,L50,N50)</f>
        <v>0</v>
      </c>
      <c r="Q50" s="39"/>
    </row>
    <row r="51" spans="2:17" ht="20.45" customHeight="1" x14ac:dyDescent="0.15">
      <c r="D51" s="39"/>
      <c r="E51" s="42"/>
      <c r="F51" s="41"/>
      <c r="G51" s="40"/>
      <c r="H51" s="40"/>
      <c r="I51" s="40">
        <f>G51*H51</f>
        <v>0</v>
      </c>
      <c r="J51" s="40"/>
      <c r="K51" s="40"/>
      <c r="L51" s="40">
        <f>G51*K51</f>
        <v>0</v>
      </c>
      <c r="M51" s="40"/>
      <c r="N51" s="40">
        <f>G51*M51</f>
        <v>0</v>
      </c>
      <c r="O51" s="40"/>
      <c r="P51" s="40">
        <f>SUM(I51,L51,N51)</f>
        <v>0</v>
      </c>
      <c r="Q51" s="39"/>
    </row>
    <row r="52" spans="2:17" ht="20.45" customHeight="1" x14ac:dyDescent="0.15">
      <c r="D52" s="39"/>
      <c r="E52" s="42"/>
      <c r="F52" s="41"/>
      <c r="G52" s="40"/>
      <c r="H52" s="40"/>
      <c r="I52" s="40">
        <f>G52*H52</f>
        <v>0</v>
      </c>
      <c r="J52" s="40"/>
      <c r="K52" s="40"/>
      <c r="L52" s="40">
        <f>G52*K52</f>
        <v>0</v>
      </c>
      <c r="M52" s="40"/>
      <c r="N52" s="40">
        <f>G52*M52</f>
        <v>0</v>
      </c>
      <c r="O52" s="40"/>
      <c r="P52" s="40">
        <f>SUM(I52,L52,N52)</f>
        <v>0</v>
      </c>
      <c r="Q52" s="39"/>
    </row>
    <row r="53" spans="2:17" ht="20.45" customHeight="1" x14ac:dyDescent="0.15">
      <c r="D53" s="39"/>
      <c r="E53" s="42"/>
      <c r="F53" s="41"/>
      <c r="G53" s="40"/>
      <c r="H53" s="40"/>
      <c r="I53" s="40">
        <f>G53*H53</f>
        <v>0</v>
      </c>
      <c r="J53" s="40"/>
      <c r="K53" s="40"/>
      <c r="L53" s="40">
        <f>G53*K53</f>
        <v>0</v>
      </c>
      <c r="M53" s="40"/>
      <c r="N53" s="40">
        <f>G53*M53</f>
        <v>0</v>
      </c>
      <c r="O53" s="40"/>
      <c r="P53" s="40">
        <f>SUM(I53,L53,N53)</f>
        <v>0</v>
      </c>
      <c r="Q53" s="39"/>
    </row>
    <row r="54" spans="2:17" ht="20.45" customHeight="1" x14ac:dyDescent="0.15">
      <c r="D54" s="39"/>
      <c r="E54" s="42"/>
      <c r="F54" s="41"/>
      <c r="G54" s="40"/>
      <c r="H54" s="40"/>
      <c r="I54" s="40">
        <f>G54*H54</f>
        <v>0</v>
      </c>
      <c r="J54" s="40"/>
      <c r="K54" s="40"/>
      <c r="L54" s="40">
        <f>G54*K54</f>
        <v>0</v>
      </c>
      <c r="M54" s="40"/>
      <c r="N54" s="40">
        <f>G54*M54</f>
        <v>0</v>
      </c>
      <c r="O54" s="40"/>
      <c r="P54" s="40">
        <f>SUM(I54,L54,N54)</f>
        <v>0</v>
      </c>
      <c r="Q54" s="39"/>
    </row>
    <row r="55" spans="2:17" ht="20.45" customHeight="1" x14ac:dyDescent="0.15">
      <c r="B55" s="36" t="s">
        <v>46</v>
      </c>
      <c r="C55" s="36" t="s">
        <v>45</v>
      </c>
      <c r="D55" s="39" t="s">
        <v>44</v>
      </c>
      <c r="E55" s="42"/>
      <c r="F55" s="41"/>
      <c r="G55" s="40"/>
      <c r="H55" s="40"/>
      <c r="I55" s="40">
        <f>TRUNC(SUM(I30:I54))</f>
        <v>0</v>
      </c>
      <c r="J55" s="40"/>
      <c r="K55" s="40"/>
      <c r="L55" s="40">
        <f>TRUNC(SUM(L30:L54))</f>
        <v>0</v>
      </c>
      <c r="M55" s="40"/>
      <c r="N55" s="40">
        <f>TRUNC(SUM(N30:N54))</f>
        <v>0</v>
      </c>
      <c r="O55" s="40"/>
      <c r="P55" s="40">
        <f>TRUNC(SUM(P30:P54))</f>
        <v>0</v>
      </c>
      <c r="Q55" s="39"/>
    </row>
  </sheetData>
  <mergeCells count="15">
    <mergeCell ref="D4:Q4"/>
    <mergeCell ref="D30:Q30"/>
    <mergeCell ref="M2:N2"/>
    <mergeCell ref="P2:P3"/>
    <mergeCell ref="Q2:Q3"/>
    <mergeCell ref="D1:Q1"/>
    <mergeCell ref="A2:A3"/>
    <mergeCell ref="B2:B3"/>
    <mergeCell ref="C2:C3"/>
    <mergeCell ref="D2:D3"/>
    <mergeCell ref="E2:E3"/>
    <mergeCell ref="F2:F3"/>
    <mergeCell ref="G2:G3"/>
    <mergeCell ref="H2:I2"/>
    <mergeCell ref="J2:L2"/>
  </mergeCells>
  <phoneticPr fontId="3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8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AD521-C4AA-4471-8357-0EE532D56AE2}">
  <dimension ref="A1:AE107"/>
  <sheetViews>
    <sheetView view="pageBreakPreview" topLeftCell="D1" zoomScale="85" zoomScaleNormal="100" zoomScaleSheetLayoutView="85" workbookViewId="0">
      <pane ySplit="3" topLeftCell="A4" activePane="bottomLeft" state="frozen"/>
      <selection activeCell="J20" sqref="J20"/>
      <selection pane="bottomLeft" activeCell="I8" sqref="I8"/>
    </sheetView>
  </sheetViews>
  <sheetFormatPr defaultRowHeight="23.1" customHeight="1" x14ac:dyDescent="0.15"/>
  <cols>
    <col min="1" max="1" width="13.625" style="36" hidden="1" customWidth="1"/>
    <col min="2" max="2" width="19.625" style="36" hidden="1" customWidth="1"/>
    <col min="3" max="3" width="23.25" style="36" hidden="1" customWidth="1"/>
    <col min="4" max="4" width="27.375" style="36" customWidth="1"/>
    <col min="5" max="5" width="28.5" style="36" customWidth="1"/>
    <col min="6" max="6" width="4.75" style="38" customWidth="1"/>
    <col min="7" max="7" width="11.25" style="35" customWidth="1"/>
    <col min="8" max="8" width="14.625" style="37" customWidth="1"/>
    <col min="9" max="9" width="14.875" style="37" customWidth="1"/>
    <col min="10" max="10" width="6.25" style="37" hidden="1" customWidth="1"/>
    <col min="11" max="11" width="11.75" style="37" customWidth="1"/>
    <col min="12" max="12" width="13.25" style="37" customWidth="1"/>
    <col min="13" max="13" width="9.5" style="37" customWidth="1"/>
    <col min="14" max="14" width="10.25" style="37" customWidth="1"/>
    <col min="15" max="15" width="6.75" style="37" hidden="1" customWidth="1"/>
    <col min="16" max="16" width="14.625" style="37" customWidth="1"/>
    <col min="17" max="17" width="12.5" style="36" customWidth="1"/>
    <col min="18" max="26" width="9" style="35"/>
    <col min="27" max="31" width="13.25" style="37" customWidth="1"/>
    <col min="32" max="16384" width="9" style="35"/>
  </cols>
  <sheetData>
    <row r="1" spans="1:31" ht="23.1" customHeight="1" x14ac:dyDescent="0.15">
      <c r="A1" s="36" t="s">
        <v>71</v>
      </c>
      <c r="B1" s="36" t="s">
        <v>310</v>
      </c>
      <c r="C1" s="36" t="s">
        <v>69</v>
      </c>
      <c r="D1" s="61" t="s">
        <v>68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W1" s="60" t="s">
        <v>309</v>
      </c>
      <c r="X1" s="60"/>
      <c r="Y1" s="60"/>
      <c r="Z1" s="38"/>
      <c r="AA1" s="38" t="s">
        <v>308</v>
      </c>
      <c r="AB1" s="38"/>
      <c r="AC1" s="38"/>
      <c r="AD1" s="38"/>
      <c r="AE1" s="38"/>
    </row>
    <row r="2" spans="1:31" s="46" customFormat="1" ht="23.1" customHeight="1" x14ac:dyDescent="0.3">
      <c r="A2" s="51" t="s">
        <v>66</v>
      </c>
      <c r="B2" s="51" t="s">
        <v>65</v>
      </c>
      <c r="C2" s="51" t="s">
        <v>307</v>
      </c>
      <c r="D2" s="52" t="s">
        <v>306</v>
      </c>
      <c r="E2" s="52" t="s">
        <v>305</v>
      </c>
      <c r="F2" s="55" t="s">
        <v>61</v>
      </c>
      <c r="G2" s="55" t="s">
        <v>35</v>
      </c>
      <c r="H2" s="53" t="s">
        <v>60</v>
      </c>
      <c r="I2" s="53"/>
      <c r="J2" s="53" t="s">
        <v>59</v>
      </c>
      <c r="K2" s="53"/>
      <c r="L2" s="53"/>
      <c r="M2" s="53" t="s">
        <v>58</v>
      </c>
      <c r="N2" s="53"/>
      <c r="O2" s="54"/>
      <c r="P2" s="53" t="s">
        <v>57</v>
      </c>
      <c r="Q2" s="52" t="s">
        <v>56</v>
      </c>
      <c r="W2" s="46" t="s">
        <v>297</v>
      </c>
      <c r="X2" s="46" t="s">
        <v>304</v>
      </c>
      <c r="Y2" s="46" t="s">
        <v>303</v>
      </c>
      <c r="Z2" s="46" t="s">
        <v>302</v>
      </c>
      <c r="AA2" s="59" t="s">
        <v>301</v>
      </c>
      <c r="AB2" s="59" t="s">
        <v>300</v>
      </c>
      <c r="AC2" s="59" t="s">
        <v>299</v>
      </c>
      <c r="AD2" s="59" t="s">
        <v>298</v>
      </c>
      <c r="AE2" s="59" t="s">
        <v>297</v>
      </c>
    </row>
    <row r="3" spans="1:31" s="46" customFormat="1" ht="23.1" customHeight="1" x14ac:dyDescent="0.15">
      <c r="A3" s="51"/>
      <c r="B3" s="51"/>
      <c r="C3" s="51"/>
      <c r="D3" s="47"/>
      <c r="E3" s="47"/>
      <c r="F3" s="50"/>
      <c r="G3" s="50"/>
      <c r="H3" s="49" t="s">
        <v>55</v>
      </c>
      <c r="I3" s="49" t="s">
        <v>34</v>
      </c>
      <c r="J3" s="49" t="s">
        <v>35</v>
      </c>
      <c r="K3" s="49" t="s">
        <v>55</v>
      </c>
      <c r="L3" s="49" t="s">
        <v>34</v>
      </c>
      <c r="M3" s="49" t="s">
        <v>55</v>
      </c>
      <c r="N3" s="49" t="s">
        <v>34</v>
      </c>
      <c r="O3" s="49" t="s">
        <v>55</v>
      </c>
      <c r="P3" s="48"/>
      <c r="Q3" s="47"/>
      <c r="W3" s="35"/>
      <c r="X3" s="35"/>
      <c r="Y3" s="35"/>
      <c r="Z3" s="35"/>
      <c r="AA3" s="37"/>
      <c r="AB3" s="37"/>
      <c r="AC3" s="37"/>
      <c r="AD3" s="37">
        <f>IF([1]옵션!$C$11 =0, "1", [1]옵션!$C$11)</f>
        <v>1000</v>
      </c>
      <c r="AE3" s="37">
        <f>IF([1]옵션!$C$12 =0, "1", [1]옵션!$C$12)</f>
        <v>1000</v>
      </c>
    </row>
    <row r="4" spans="1:31" ht="23.1" customHeight="1" x14ac:dyDescent="0.15">
      <c r="B4" s="36" t="s">
        <v>53</v>
      </c>
      <c r="D4" s="45" t="s">
        <v>296</v>
      </c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3"/>
    </row>
    <row r="5" spans="1:31" ht="23.1" customHeight="1" x14ac:dyDescent="0.15">
      <c r="A5" s="36" t="s">
        <v>175</v>
      </c>
      <c r="B5" s="36" t="s">
        <v>51</v>
      </c>
      <c r="C5" s="36" t="s">
        <v>174</v>
      </c>
      <c r="D5" s="39" t="s">
        <v>170</v>
      </c>
      <c r="E5" s="39" t="s">
        <v>173</v>
      </c>
      <c r="F5" s="41" t="s">
        <v>96</v>
      </c>
      <c r="G5" s="42">
        <f>[1]산출집계!H5</f>
        <v>73</v>
      </c>
      <c r="H5" s="40"/>
      <c r="I5" s="58"/>
      <c r="J5" s="40"/>
      <c r="K5" s="40"/>
      <c r="L5" s="58"/>
      <c r="M5" s="40">
        <f>[1]합산자재!J4</f>
        <v>0</v>
      </c>
      <c r="N5" s="58">
        <f>TRUNC(G5*M5)</f>
        <v>0</v>
      </c>
      <c r="O5" s="40"/>
      <c r="P5" s="40">
        <f>SUM(I5,L5,N5)</f>
        <v>0</v>
      </c>
      <c r="Q5" s="39"/>
      <c r="AA5" s="37">
        <f>G5*H5</f>
        <v>0</v>
      </c>
      <c r="AC5" s="37">
        <f>G5*H5</f>
        <v>0</v>
      </c>
    </row>
    <row r="6" spans="1:31" ht="23.1" customHeight="1" x14ac:dyDescent="0.15">
      <c r="A6" s="36" t="s">
        <v>295</v>
      </c>
      <c r="B6" s="36" t="s">
        <v>51</v>
      </c>
      <c r="C6" s="36" t="s">
        <v>294</v>
      </c>
      <c r="D6" s="39" t="s">
        <v>170</v>
      </c>
      <c r="E6" s="39" t="s">
        <v>293</v>
      </c>
      <c r="F6" s="41" t="s">
        <v>96</v>
      </c>
      <c r="G6" s="42">
        <f>[1]산출집계!H6</f>
        <v>18</v>
      </c>
      <c r="H6" s="40"/>
      <c r="I6" s="40"/>
      <c r="J6" s="40"/>
      <c r="K6" s="40"/>
      <c r="L6" s="40"/>
      <c r="M6" s="40">
        <f>[1]합산자재!J6</f>
        <v>0</v>
      </c>
      <c r="N6" s="40">
        <f>TRUNC(G6*M6)</f>
        <v>0</v>
      </c>
      <c r="O6" s="40"/>
      <c r="P6" s="40">
        <f>SUM(I6,L6,N6)</f>
        <v>0</v>
      </c>
      <c r="Q6" s="39"/>
      <c r="AA6" s="37">
        <f>G6*H6</f>
        <v>0</v>
      </c>
      <c r="AC6" s="37">
        <f>G6*H6</f>
        <v>0</v>
      </c>
    </row>
    <row r="7" spans="1:31" ht="23.1" customHeight="1" x14ac:dyDescent="0.15">
      <c r="A7" s="36" t="s">
        <v>168</v>
      </c>
      <c r="B7" s="36" t="s">
        <v>51</v>
      </c>
      <c r="C7" s="36" t="s">
        <v>167</v>
      </c>
      <c r="D7" s="39" t="s">
        <v>166</v>
      </c>
      <c r="E7" s="39" t="s">
        <v>165</v>
      </c>
      <c r="F7" s="41" t="s">
        <v>47</v>
      </c>
      <c r="G7" s="42">
        <v>1</v>
      </c>
      <c r="H7" s="40"/>
      <c r="I7" s="40"/>
      <c r="J7" s="40"/>
      <c r="K7" s="40"/>
      <c r="L7" s="40"/>
      <c r="M7" s="40"/>
      <c r="N7" s="40">
        <f>TRUNC(G7*M7)</f>
        <v>0</v>
      </c>
      <c r="O7" s="40"/>
      <c r="P7" s="40">
        <f>SUM(I7,L7,N7)</f>
        <v>0</v>
      </c>
      <c r="Q7" s="39"/>
      <c r="AA7" s="37">
        <f>TRUNC(SUM(AA4:AA6))</f>
        <v>0</v>
      </c>
    </row>
    <row r="8" spans="1:31" ht="23.1" customHeight="1" x14ac:dyDescent="0.15">
      <c r="A8" s="36" t="s">
        <v>164</v>
      </c>
      <c r="B8" s="36" t="s">
        <v>51</v>
      </c>
      <c r="C8" s="36" t="s">
        <v>163</v>
      </c>
      <c r="D8" s="39" t="s">
        <v>159</v>
      </c>
      <c r="E8" s="39" t="s">
        <v>162</v>
      </c>
      <c r="F8" s="41" t="s">
        <v>96</v>
      </c>
      <c r="G8" s="42">
        <f>[1]산출집계!H7</f>
        <v>312</v>
      </c>
      <c r="H8" s="40"/>
      <c r="I8" s="40"/>
      <c r="J8" s="40"/>
      <c r="K8" s="40"/>
      <c r="L8" s="40"/>
      <c r="M8" s="40">
        <f>[1]합산자재!J7</f>
        <v>0</v>
      </c>
      <c r="N8" s="40">
        <f>TRUNC(G8*M8)</f>
        <v>0</v>
      </c>
      <c r="O8" s="40"/>
      <c r="P8" s="40">
        <f>SUM(I8,L8,N8)</f>
        <v>0</v>
      </c>
      <c r="Q8" s="39"/>
      <c r="AC8" s="37">
        <f>G8*H8</f>
        <v>0</v>
      </c>
    </row>
    <row r="9" spans="1:31" ht="23.1" customHeight="1" x14ac:dyDescent="0.15">
      <c r="A9" s="36" t="s">
        <v>161</v>
      </c>
      <c r="B9" s="36" t="s">
        <v>51</v>
      </c>
      <c r="C9" s="36" t="s">
        <v>160</v>
      </c>
      <c r="D9" s="39" t="s">
        <v>159</v>
      </c>
      <c r="E9" s="39" t="s">
        <v>158</v>
      </c>
      <c r="F9" s="41" t="s">
        <v>96</v>
      </c>
      <c r="G9" s="42">
        <f>[1]산출집계!H8</f>
        <v>29</v>
      </c>
      <c r="H9" s="40"/>
      <c r="I9" s="40"/>
      <c r="J9" s="40"/>
      <c r="K9" s="40"/>
      <c r="L9" s="40"/>
      <c r="M9" s="40">
        <f>[1]합산자재!J8</f>
        <v>0</v>
      </c>
      <c r="N9" s="40">
        <f>TRUNC(G9*M9)</f>
        <v>0</v>
      </c>
      <c r="O9" s="40"/>
      <c r="P9" s="40">
        <f>SUM(I9,L9,N9)</f>
        <v>0</v>
      </c>
      <c r="Q9" s="39"/>
      <c r="AC9" s="37">
        <f>G9*H9</f>
        <v>0</v>
      </c>
    </row>
    <row r="10" spans="1:31" ht="23.1" customHeight="1" x14ac:dyDescent="0.15">
      <c r="A10" s="36" t="s">
        <v>150</v>
      </c>
      <c r="B10" s="36" t="s">
        <v>51</v>
      </c>
      <c r="C10" s="36" t="s">
        <v>149</v>
      </c>
      <c r="D10" s="39" t="s">
        <v>148</v>
      </c>
      <c r="E10" s="39" t="s">
        <v>147</v>
      </c>
      <c r="F10" s="41" t="s">
        <v>125</v>
      </c>
      <c r="G10" s="42">
        <f>[1]산출집계!H9</f>
        <v>16</v>
      </c>
      <c r="H10" s="40"/>
      <c r="I10" s="40"/>
      <c r="J10" s="40"/>
      <c r="K10" s="40"/>
      <c r="L10" s="40"/>
      <c r="M10" s="40">
        <f>[1]합산자재!J11</f>
        <v>0</v>
      </c>
      <c r="N10" s="40">
        <f>TRUNC(G10*M10)</f>
        <v>0</v>
      </c>
      <c r="O10" s="40"/>
      <c r="P10" s="40">
        <f>SUM(I10,L10,N10)</f>
        <v>0</v>
      </c>
      <c r="Q10" s="39"/>
    </row>
    <row r="11" spans="1:31" ht="23.1" customHeight="1" x14ac:dyDescent="0.15">
      <c r="A11" s="36" t="s">
        <v>292</v>
      </c>
      <c r="B11" s="36" t="s">
        <v>51</v>
      </c>
      <c r="C11" s="36" t="s">
        <v>291</v>
      </c>
      <c r="D11" s="39" t="s">
        <v>144</v>
      </c>
      <c r="E11" s="39" t="s">
        <v>290</v>
      </c>
      <c r="F11" s="41" t="s">
        <v>125</v>
      </c>
      <c r="G11" s="42">
        <f>[1]산출집계!H10</f>
        <v>16</v>
      </c>
      <c r="H11" s="40"/>
      <c r="I11" s="40"/>
      <c r="J11" s="40"/>
      <c r="K11" s="40"/>
      <c r="L11" s="40"/>
      <c r="M11" s="40">
        <f>[1]합산자재!J13</f>
        <v>0</v>
      </c>
      <c r="N11" s="40">
        <f>TRUNC(G11*M11)</f>
        <v>0</v>
      </c>
      <c r="O11" s="40"/>
      <c r="P11" s="40">
        <f>SUM(I11,L11,N11)</f>
        <v>0</v>
      </c>
      <c r="Q11" s="39"/>
    </row>
    <row r="12" spans="1:31" ht="23.1" customHeight="1" x14ac:dyDescent="0.15">
      <c r="A12" s="36" t="s">
        <v>289</v>
      </c>
      <c r="B12" s="36" t="s">
        <v>51</v>
      </c>
      <c r="C12" s="36" t="s">
        <v>288</v>
      </c>
      <c r="D12" s="39" t="s">
        <v>287</v>
      </c>
      <c r="E12" s="39" t="s">
        <v>286</v>
      </c>
      <c r="F12" s="41" t="s">
        <v>96</v>
      </c>
      <c r="G12" s="42">
        <f>[1]산출집계!H11</f>
        <v>3</v>
      </c>
      <c r="H12" s="40"/>
      <c r="I12" s="40"/>
      <c r="J12" s="40"/>
      <c r="K12" s="40"/>
      <c r="L12" s="40"/>
      <c r="M12" s="40">
        <f>[1]합산자재!J14</f>
        <v>0</v>
      </c>
      <c r="N12" s="40">
        <f>TRUNC(G12*M12)</f>
        <v>0</v>
      </c>
      <c r="O12" s="40"/>
      <c r="P12" s="40">
        <f>SUM(I12,L12,N12)</f>
        <v>0</v>
      </c>
      <c r="Q12" s="39"/>
    </row>
    <row r="13" spans="1:31" ht="23.1" customHeight="1" x14ac:dyDescent="0.15">
      <c r="A13" s="36" t="s">
        <v>285</v>
      </c>
      <c r="B13" s="36" t="s">
        <v>51</v>
      </c>
      <c r="C13" s="36" t="s">
        <v>284</v>
      </c>
      <c r="D13" s="39" t="s">
        <v>283</v>
      </c>
      <c r="E13" s="39" t="s">
        <v>282</v>
      </c>
      <c r="F13" s="41" t="s">
        <v>96</v>
      </c>
      <c r="G13" s="42">
        <f>[1]산출집계!H12</f>
        <v>14</v>
      </c>
      <c r="H13" s="40"/>
      <c r="I13" s="40"/>
      <c r="J13" s="40"/>
      <c r="K13" s="40"/>
      <c r="L13" s="40"/>
      <c r="M13" s="40">
        <f>[1]합산자재!J15</f>
        <v>0</v>
      </c>
      <c r="N13" s="40">
        <f>TRUNC(G13*M13)</f>
        <v>0</v>
      </c>
      <c r="O13" s="40"/>
      <c r="P13" s="40">
        <f>SUM(I13,L13,N13)</f>
        <v>0</v>
      </c>
      <c r="Q13" s="39"/>
    </row>
    <row r="14" spans="1:31" ht="23.1" customHeight="1" x14ac:dyDescent="0.15">
      <c r="A14" s="36" t="s">
        <v>281</v>
      </c>
      <c r="B14" s="36" t="s">
        <v>51</v>
      </c>
      <c r="C14" s="36" t="s">
        <v>280</v>
      </c>
      <c r="D14" s="39" t="s">
        <v>140</v>
      </c>
      <c r="E14" s="39" t="s">
        <v>279</v>
      </c>
      <c r="F14" s="41" t="s">
        <v>96</v>
      </c>
      <c r="G14" s="42">
        <f>[1]산출집계!H13</f>
        <v>490</v>
      </c>
      <c r="H14" s="40"/>
      <c r="I14" s="40"/>
      <c r="J14" s="40"/>
      <c r="K14" s="40"/>
      <c r="L14" s="40"/>
      <c r="M14" s="40">
        <f>[1]합산자재!J17</f>
        <v>0</v>
      </c>
      <c r="N14" s="40">
        <f>TRUNC(G14*M14)</f>
        <v>0</v>
      </c>
      <c r="O14" s="40"/>
      <c r="P14" s="40">
        <f>SUM(I14,L14,N14)</f>
        <v>0</v>
      </c>
      <c r="Q14" s="39"/>
      <c r="AC14" s="37">
        <f>G14*H14</f>
        <v>0</v>
      </c>
    </row>
    <row r="15" spans="1:31" ht="23.1" customHeight="1" x14ac:dyDescent="0.15">
      <c r="A15" s="36" t="s">
        <v>278</v>
      </c>
      <c r="B15" s="36" t="s">
        <v>51</v>
      </c>
      <c r="C15" s="36" t="s">
        <v>277</v>
      </c>
      <c r="D15" s="39" t="s">
        <v>276</v>
      </c>
      <c r="E15" s="39" t="s">
        <v>275</v>
      </c>
      <c r="F15" s="41" t="s">
        <v>96</v>
      </c>
      <c r="G15" s="42">
        <f>[1]산출집계!H14</f>
        <v>29</v>
      </c>
      <c r="H15" s="40"/>
      <c r="I15" s="40"/>
      <c r="J15" s="40"/>
      <c r="K15" s="40"/>
      <c r="L15" s="40"/>
      <c r="M15" s="40">
        <f>[1]합산자재!J18</f>
        <v>0</v>
      </c>
      <c r="N15" s="40">
        <f>TRUNC(G15*M15)</f>
        <v>0</v>
      </c>
      <c r="O15" s="40"/>
      <c r="P15" s="40">
        <f>SUM(I15,L15,N15)</f>
        <v>0</v>
      </c>
      <c r="Q15" s="39"/>
      <c r="AC15" s="37">
        <f>G15*H15</f>
        <v>0</v>
      </c>
    </row>
    <row r="16" spans="1:31" ht="23.1" customHeight="1" x14ac:dyDescent="0.15">
      <c r="A16" s="36" t="s">
        <v>274</v>
      </c>
      <c r="B16" s="36" t="s">
        <v>51</v>
      </c>
      <c r="C16" s="36" t="s">
        <v>273</v>
      </c>
      <c r="D16" s="39" t="s">
        <v>272</v>
      </c>
      <c r="E16" s="39" t="s">
        <v>271</v>
      </c>
      <c r="F16" s="41" t="s">
        <v>96</v>
      </c>
      <c r="G16" s="42">
        <f>[1]산출집계!H15</f>
        <v>145</v>
      </c>
      <c r="H16" s="40"/>
      <c r="I16" s="40"/>
      <c r="J16" s="40"/>
      <c r="K16" s="40"/>
      <c r="L16" s="40"/>
      <c r="M16" s="40">
        <f>[1]합산자재!J19</f>
        <v>0</v>
      </c>
      <c r="N16" s="40">
        <f>TRUNC(G16*M16)</f>
        <v>0</v>
      </c>
      <c r="O16" s="40"/>
      <c r="P16" s="40">
        <f>SUM(I16,L16,N16)</f>
        <v>0</v>
      </c>
      <c r="Q16" s="39"/>
      <c r="AC16" s="37">
        <f>G16*H16</f>
        <v>0</v>
      </c>
    </row>
    <row r="17" spans="1:29" ht="23.1" customHeight="1" x14ac:dyDescent="0.15">
      <c r="A17" s="36" t="s">
        <v>270</v>
      </c>
      <c r="B17" s="36" t="s">
        <v>51</v>
      </c>
      <c r="C17" s="36" t="s">
        <v>269</v>
      </c>
      <c r="D17" s="39" t="s">
        <v>265</v>
      </c>
      <c r="E17" s="39" t="s">
        <v>268</v>
      </c>
      <c r="F17" s="41" t="s">
        <v>96</v>
      </c>
      <c r="G17" s="42">
        <f>[1]산출집계!H16</f>
        <v>28</v>
      </c>
      <c r="H17" s="40"/>
      <c r="I17" s="40"/>
      <c r="J17" s="40"/>
      <c r="K17" s="40"/>
      <c r="L17" s="40"/>
      <c r="M17" s="40">
        <f>[1]합산자재!J20</f>
        <v>0</v>
      </c>
      <c r="N17" s="40">
        <f>TRUNC(G17*M17)</f>
        <v>0</v>
      </c>
      <c r="O17" s="40"/>
      <c r="P17" s="40">
        <f>SUM(I17,L17,N17)</f>
        <v>0</v>
      </c>
      <c r="Q17" s="39"/>
      <c r="AC17" s="37">
        <f>G17*H17</f>
        <v>0</v>
      </c>
    </row>
    <row r="18" spans="1:29" ht="23.1" customHeight="1" x14ac:dyDescent="0.15">
      <c r="A18" s="36" t="s">
        <v>267</v>
      </c>
      <c r="B18" s="36" t="s">
        <v>51</v>
      </c>
      <c r="C18" s="36" t="s">
        <v>266</v>
      </c>
      <c r="D18" s="39" t="s">
        <v>265</v>
      </c>
      <c r="E18" s="39" t="s">
        <v>264</v>
      </c>
      <c r="F18" s="41" t="s">
        <v>96</v>
      </c>
      <c r="G18" s="42">
        <f>[1]산출집계!H17</f>
        <v>88</v>
      </c>
      <c r="H18" s="40"/>
      <c r="I18" s="40"/>
      <c r="J18" s="40"/>
      <c r="K18" s="40"/>
      <c r="L18" s="40"/>
      <c r="M18" s="40">
        <f>[1]합산자재!J21</f>
        <v>0</v>
      </c>
      <c r="N18" s="40">
        <f>TRUNC(G18*M18)</f>
        <v>0</v>
      </c>
      <c r="O18" s="40"/>
      <c r="P18" s="40">
        <f>SUM(I18,L18,N18)</f>
        <v>0</v>
      </c>
      <c r="Q18" s="39"/>
      <c r="AC18" s="37">
        <f>G18*H18</f>
        <v>0</v>
      </c>
    </row>
    <row r="19" spans="1:29" ht="23.1" customHeight="1" x14ac:dyDescent="0.15">
      <c r="A19" s="36" t="s">
        <v>263</v>
      </c>
      <c r="B19" s="36" t="s">
        <v>51</v>
      </c>
      <c r="C19" s="36" t="s">
        <v>262</v>
      </c>
      <c r="D19" s="39" t="s">
        <v>261</v>
      </c>
      <c r="E19" s="39" t="s">
        <v>260</v>
      </c>
      <c r="F19" s="41" t="s">
        <v>96</v>
      </c>
      <c r="G19" s="42">
        <f>[1]산출집계!H18</f>
        <v>4</v>
      </c>
      <c r="H19" s="40"/>
      <c r="I19" s="40"/>
      <c r="J19" s="40"/>
      <c r="K19" s="40"/>
      <c r="L19" s="40"/>
      <c r="M19" s="40">
        <f>[1]합산자재!J22</f>
        <v>0</v>
      </c>
      <c r="N19" s="40">
        <f>TRUNC(G19*M19)</f>
        <v>0</v>
      </c>
      <c r="O19" s="40"/>
      <c r="P19" s="40">
        <f>SUM(I19,L19,N19)</f>
        <v>0</v>
      </c>
      <c r="Q19" s="39"/>
      <c r="AC19" s="37">
        <f>G19*H19</f>
        <v>0</v>
      </c>
    </row>
    <row r="20" spans="1:29" ht="23.1" customHeight="1" x14ac:dyDescent="0.15">
      <c r="A20" s="36" t="s">
        <v>259</v>
      </c>
      <c r="B20" s="36" t="s">
        <v>51</v>
      </c>
      <c r="C20" s="36" t="s">
        <v>258</v>
      </c>
      <c r="D20" s="39" t="s">
        <v>257</v>
      </c>
      <c r="E20" s="39" t="s">
        <v>256</v>
      </c>
      <c r="F20" s="41" t="s">
        <v>125</v>
      </c>
      <c r="G20" s="42">
        <f>[1]산출집계!H19</f>
        <v>15</v>
      </c>
      <c r="H20" s="40"/>
      <c r="I20" s="40"/>
      <c r="J20" s="40"/>
      <c r="K20" s="40"/>
      <c r="L20" s="40"/>
      <c r="M20" s="40">
        <f>[1]합산자재!J27</f>
        <v>0</v>
      </c>
      <c r="N20" s="40">
        <f>TRUNC(G20*M20)</f>
        <v>0</v>
      </c>
      <c r="O20" s="40"/>
      <c r="P20" s="40">
        <f>SUM(I20,L20,N20)</f>
        <v>0</v>
      </c>
      <c r="Q20" s="39"/>
    </row>
    <row r="21" spans="1:29" ht="23.1" customHeight="1" x14ac:dyDescent="0.15">
      <c r="A21" s="36" t="s">
        <v>255</v>
      </c>
      <c r="B21" s="36" t="s">
        <v>51</v>
      </c>
      <c r="C21" s="36" t="s">
        <v>254</v>
      </c>
      <c r="D21" s="39" t="s">
        <v>253</v>
      </c>
      <c r="E21" s="39" t="s">
        <v>252</v>
      </c>
      <c r="F21" s="41" t="s">
        <v>125</v>
      </c>
      <c r="G21" s="42">
        <f>[1]산출집계!H20</f>
        <v>1</v>
      </c>
      <c r="H21" s="40"/>
      <c r="I21" s="40"/>
      <c r="J21" s="40"/>
      <c r="K21" s="40"/>
      <c r="L21" s="40"/>
      <c r="M21" s="40">
        <f>[1]합산자재!J28</f>
        <v>0</v>
      </c>
      <c r="N21" s="40">
        <f>TRUNC(G21*M21)</f>
        <v>0</v>
      </c>
      <c r="O21" s="40"/>
      <c r="P21" s="40">
        <f>SUM(I21,L21,N21)</f>
        <v>0</v>
      </c>
      <c r="Q21" s="39"/>
    </row>
    <row r="22" spans="1:29" ht="23.1" customHeight="1" x14ac:dyDescent="0.15">
      <c r="A22" s="36" t="s">
        <v>251</v>
      </c>
      <c r="B22" s="36" t="s">
        <v>51</v>
      </c>
      <c r="C22" s="36" t="s">
        <v>250</v>
      </c>
      <c r="D22" s="39" t="s">
        <v>249</v>
      </c>
      <c r="E22" s="39"/>
      <c r="F22" s="41" t="s">
        <v>125</v>
      </c>
      <c r="G22" s="42">
        <f>[1]산출집계!H21</f>
        <v>1</v>
      </c>
      <c r="H22" s="40"/>
      <c r="I22" s="40"/>
      <c r="J22" s="40"/>
      <c r="K22" s="40"/>
      <c r="L22" s="40"/>
      <c r="M22" s="40">
        <f>[1]합산자재!J29</f>
        <v>0</v>
      </c>
      <c r="N22" s="40">
        <f>TRUNC(G22*M22)</f>
        <v>0</v>
      </c>
      <c r="O22" s="40"/>
      <c r="P22" s="40">
        <f>SUM(I22,L22,N22)</f>
        <v>0</v>
      </c>
      <c r="Q22" s="39" t="s">
        <v>215</v>
      </c>
    </row>
    <row r="23" spans="1:29" ht="23.1" customHeight="1" x14ac:dyDescent="0.15">
      <c r="A23" s="36" t="s">
        <v>248</v>
      </c>
      <c r="B23" s="36" t="s">
        <v>51</v>
      </c>
      <c r="C23" s="36" t="s">
        <v>247</v>
      </c>
      <c r="D23" s="39" t="s">
        <v>246</v>
      </c>
      <c r="E23" s="39"/>
      <c r="F23" s="41" t="s">
        <v>96</v>
      </c>
      <c r="G23" s="42">
        <f>[1]산출집계!H22</f>
        <v>16</v>
      </c>
      <c r="H23" s="40"/>
      <c r="I23" s="40"/>
      <c r="J23" s="40"/>
      <c r="K23" s="40"/>
      <c r="L23" s="40"/>
      <c r="M23" s="40">
        <f>[1]합산자재!J39</f>
        <v>0</v>
      </c>
      <c r="N23" s="40">
        <f>TRUNC(G23*M23)</f>
        <v>0</v>
      </c>
      <c r="O23" s="40"/>
      <c r="P23" s="40">
        <f>SUM(I23,L23,N23)</f>
        <v>0</v>
      </c>
      <c r="Q23" s="39"/>
      <c r="AC23" s="37">
        <f>G23*H23</f>
        <v>0</v>
      </c>
    </row>
    <row r="24" spans="1:29" ht="23.1" customHeight="1" x14ac:dyDescent="0.15">
      <c r="A24" s="36" t="s">
        <v>245</v>
      </c>
      <c r="B24" s="36" t="s">
        <v>51</v>
      </c>
      <c r="C24" s="36" t="s">
        <v>244</v>
      </c>
      <c r="D24" s="39" t="s">
        <v>243</v>
      </c>
      <c r="E24" s="39"/>
      <c r="F24" s="41" t="s">
        <v>91</v>
      </c>
      <c r="G24" s="42">
        <f>[1]산출집계!H23</f>
        <v>1</v>
      </c>
      <c r="H24" s="40"/>
      <c r="I24" s="40"/>
      <c r="J24" s="40"/>
      <c r="K24" s="40"/>
      <c r="L24" s="40"/>
      <c r="M24" s="40">
        <f>[1]합산자재!J46</f>
        <v>0</v>
      </c>
      <c r="N24" s="40">
        <f>TRUNC(G24*M24)</f>
        <v>0</v>
      </c>
      <c r="O24" s="40"/>
      <c r="P24" s="40">
        <f>SUM(I24,L24,N24)</f>
        <v>0</v>
      </c>
      <c r="Q24" s="39" t="s">
        <v>90</v>
      </c>
    </row>
    <row r="25" spans="1:29" ht="23.1" customHeight="1" x14ac:dyDescent="0.15">
      <c r="A25" s="36" t="s">
        <v>242</v>
      </c>
      <c r="B25" s="36" t="s">
        <v>51</v>
      </c>
      <c r="C25" s="36" t="s">
        <v>241</v>
      </c>
      <c r="D25" s="39" t="s">
        <v>240</v>
      </c>
      <c r="E25" s="39"/>
      <c r="F25" s="41" t="s">
        <v>187</v>
      </c>
      <c r="G25" s="42">
        <f>[1]산출집계!H24</f>
        <v>1</v>
      </c>
      <c r="H25" s="40"/>
      <c r="I25" s="40"/>
      <c r="J25" s="40"/>
      <c r="K25" s="40"/>
      <c r="L25" s="40"/>
      <c r="M25" s="40">
        <f>[1]합산자재!J48</f>
        <v>0</v>
      </c>
      <c r="N25" s="40">
        <f>TRUNC(G25*M25)</f>
        <v>0</v>
      </c>
      <c r="O25" s="40"/>
      <c r="P25" s="40">
        <f>SUM(I25,L25,N25)</f>
        <v>0</v>
      </c>
      <c r="Q25" s="39" t="s">
        <v>90</v>
      </c>
    </row>
    <row r="26" spans="1:29" ht="23.1" customHeight="1" x14ac:dyDescent="0.15">
      <c r="A26" s="36" t="s">
        <v>239</v>
      </c>
      <c r="B26" s="36" t="s">
        <v>51</v>
      </c>
      <c r="C26" s="36" t="s">
        <v>238</v>
      </c>
      <c r="D26" s="39" t="s">
        <v>237</v>
      </c>
      <c r="E26" s="39"/>
      <c r="F26" s="41" t="s">
        <v>96</v>
      </c>
      <c r="G26" s="42">
        <f>[1]산출집계!H25</f>
        <v>11</v>
      </c>
      <c r="H26" s="40">
        <f>[1]합산자재!H49</f>
        <v>0</v>
      </c>
      <c r="I26" s="40"/>
      <c r="J26" s="40">
        <f>[1]산출집계!J25</f>
        <v>11</v>
      </c>
      <c r="K26" s="40">
        <f>[1]합산자재!I49</f>
        <v>0</v>
      </c>
      <c r="L26" s="40">
        <f>TRUNC(G26*K26)</f>
        <v>0</v>
      </c>
      <c r="M26" s="40">
        <f>[1]합산자재!J49</f>
        <v>0</v>
      </c>
      <c r="N26" s="40">
        <f>TRUNC(G26*M26)</f>
        <v>0</v>
      </c>
      <c r="O26" s="40"/>
      <c r="P26" s="40">
        <f>SUM(I26,L26,N26)</f>
        <v>0</v>
      </c>
      <c r="Q26" s="39" t="s">
        <v>90</v>
      </c>
      <c r="AC26" s="37">
        <f>G26*H26</f>
        <v>0</v>
      </c>
    </row>
    <row r="27" spans="1:29" ht="23.1" customHeight="1" x14ac:dyDescent="0.15">
      <c r="A27" s="36" t="s">
        <v>236</v>
      </c>
      <c r="B27" s="36" t="s">
        <v>51</v>
      </c>
      <c r="C27" s="36" t="s">
        <v>235</v>
      </c>
      <c r="D27" s="39" t="s">
        <v>234</v>
      </c>
      <c r="E27" s="39"/>
      <c r="F27" s="41" t="s">
        <v>91</v>
      </c>
      <c r="G27" s="42">
        <f>[1]산출집계!H26</f>
        <v>1</v>
      </c>
      <c r="H27" s="40"/>
      <c r="I27" s="40">
        <f>TRUNC(G27*H27)</f>
        <v>0</v>
      </c>
      <c r="J27" s="40">
        <f>[1]산출집계!J26</f>
        <v>1</v>
      </c>
      <c r="K27" s="40">
        <f>[1]합산자재!I50</f>
        <v>0</v>
      </c>
      <c r="L27" s="40">
        <f>TRUNC(G27*K27)</f>
        <v>0</v>
      </c>
      <c r="M27" s="40">
        <f>[1]합산자재!J50</f>
        <v>0</v>
      </c>
      <c r="N27" s="40">
        <f>TRUNC(G27*M27)</f>
        <v>0</v>
      </c>
      <c r="O27" s="40"/>
      <c r="P27" s="40">
        <f>SUM(I27,L27,N27)</f>
        <v>0</v>
      </c>
      <c r="Q27" s="39" t="s">
        <v>215</v>
      </c>
    </row>
    <row r="28" spans="1:29" ht="23.1" customHeight="1" x14ac:dyDescent="0.15">
      <c r="A28" s="36" t="s">
        <v>99</v>
      </c>
      <c r="B28" s="36" t="s">
        <v>51</v>
      </c>
      <c r="C28" s="36" t="s">
        <v>98</v>
      </c>
      <c r="D28" s="39" t="s">
        <v>97</v>
      </c>
      <c r="E28" s="39"/>
      <c r="F28" s="41" t="s">
        <v>96</v>
      </c>
      <c r="G28" s="42">
        <f>[1]산출집계!H27</f>
        <v>30</v>
      </c>
      <c r="H28" s="40">
        <f>[1]합산자재!H51</f>
        <v>0</v>
      </c>
      <c r="I28" s="40">
        <f>TRUNC(G28*H28)</f>
        <v>0</v>
      </c>
      <c r="J28" s="40">
        <f>[1]산출집계!J27</f>
        <v>30</v>
      </c>
      <c r="K28" s="40">
        <f>[1]합산자재!I51</f>
        <v>0</v>
      </c>
      <c r="L28" s="40">
        <f>TRUNC(G28*K28)</f>
        <v>0</v>
      </c>
      <c r="M28" s="40">
        <f>[1]합산자재!J51</f>
        <v>0</v>
      </c>
      <c r="N28" s="40">
        <f>TRUNC(G28*M28)</f>
        <v>0</v>
      </c>
      <c r="O28" s="40"/>
      <c r="P28" s="40">
        <f>SUM(I28,L28,N28)</f>
        <v>0</v>
      </c>
      <c r="Q28" s="39" t="s">
        <v>95</v>
      </c>
      <c r="AC28" s="37">
        <f>G28*H28</f>
        <v>0</v>
      </c>
    </row>
    <row r="29" spans="1:29" ht="23.1" customHeight="1" x14ac:dyDescent="0.15">
      <c r="A29" s="36" t="s">
        <v>233</v>
      </c>
      <c r="B29" s="36" t="s">
        <v>51</v>
      </c>
      <c r="C29" s="36" t="s">
        <v>232</v>
      </c>
      <c r="D29" s="39" t="s">
        <v>231</v>
      </c>
      <c r="E29" s="39"/>
      <c r="F29" s="41" t="s">
        <v>230</v>
      </c>
      <c r="G29" s="42">
        <f>[1]산출집계!H28</f>
        <v>1</v>
      </c>
      <c r="H29" s="40"/>
      <c r="I29" s="40">
        <f>TRUNC(G29*H29)</f>
        <v>0</v>
      </c>
      <c r="J29" s="40">
        <f>[1]산출집계!J28</f>
        <v>1</v>
      </c>
      <c r="K29" s="40">
        <f>[1]합산자재!I52</f>
        <v>0</v>
      </c>
      <c r="L29" s="40">
        <f>TRUNC(G29*K29)</f>
        <v>0</v>
      </c>
      <c r="M29" s="40">
        <f>[1]합산자재!J52</f>
        <v>0</v>
      </c>
      <c r="N29" s="40">
        <f>TRUNC(G29*M29)</f>
        <v>0</v>
      </c>
      <c r="O29" s="40"/>
      <c r="P29" s="40">
        <f>SUM(I29,L29,N29)</f>
        <v>0</v>
      </c>
      <c r="Q29" s="39" t="s">
        <v>90</v>
      </c>
    </row>
    <row r="30" spans="1:29" ht="23.1" customHeight="1" x14ac:dyDescent="0.15">
      <c r="A30" s="36" t="s">
        <v>229</v>
      </c>
      <c r="B30" s="36" t="s">
        <v>51</v>
      </c>
      <c r="C30" s="36" t="s">
        <v>228</v>
      </c>
      <c r="D30" s="39" t="s">
        <v>227</v>
      </c>
      <c r="E30" s="39"/>
      <c r="F30" s="41" t="s">
        <v>91</v>
      </c>
      <c r="G30" s="42">
        <f>[1]산출집계!H29</f>
        <v>3</v>
      </c>
      <c r="H30" s="40"/>
      <c r="I30" s="40">
        <f>TRUNC(G30*H30)</f>
        <v>0</v>
      </c>
      <c r="J30" s="40">
        <f>[1]산출집계!J29</f>
        <v>3</v>
      </c>
      <c r="K30" s="40">
        <f>[1]합산자재!I53</f>
        <v>0</v>
      </c>
      <c r="L30" s="40">
        <f>TRUNC(G30*K30)</f>
        <v>0</v>
      </c>
      <c r="M30" s="40">
        <f>[1]합산자재!J53</f>
        <v>0</v>
      </c>
      <c r="N30" s="40">
        <f>TRUNC(G30*M30)</f>
        <v>0</v>
      </c>
      <c r="O30" s="40"/>
      <c r="P30" s="40">
        <f>SUM(I30,L30,N30)</f>
        <v>0</v>
      </c>
      <c r="Q30" s="39" t="s">
        <v>215</v>
      </c>
    </row>
    <row r="31" spans="1:29" ht="23.1" customHeight="1" x14ac:dyDescent="0.15">
      <c r="A31" s="36" t="s">
        <v>226</v>
      </c>
      <c r="B31" s="36" t="s">
        <v>51</v>
      </c>
      <c r="C31" s="36" t="s">
        <v>225</v>
      </c>
      <c r="D31" s="39" t="s">
        <v>224</v>
      </c>
      <c r="E31" s="39" t="s">
        <v>223</v>
      </c>
      <c r="F31" s="41" t="s">
        <v>187</v>
      </c>
      <c r="G31" s="42">
        <f>[1]산출집계!H30</f>
        <v>1</v>
      </c>
      <c r="H31" s="40"/>
      <c r="I31" s="40">
        <f>TRUNC(G31*H31)</f>
        <v>0</v>
      </c>
      <c r="J31" s="40">
        <f>[1]산출집계!J30</f>
        <v>1</v>
      </c>
      <c r="K31" s="40">
        <f>[1]합산자재!I54</f>
        <v>0</v>
      </c>
      <c r="L31" s="40">
        <f>TRUNC(G31*K31)</f>
        <v>0</v>
      </c>
      <c r="M31" s="40">
        <f>[1]합산자재!J54</f>
        <v>0</v>
      </c>
      <c r="N31" s="40">
        <f>TRUNC(G31*M31)</f>
        <v>0</v>
      </c>
      <c r="O31" s="40"/>
      <c r="P31" s="40">
        <f>SUM(I31,L31,N31)</f>
        <v>0</v>
      </c>
      <c r="Q31" s="39" t="s">
        <v>222</v>
      </c>
    </row>
    <row r="32" spans="1:29" ht="23.1" customHeight="1" x14ac:dyDescent="0.15">
      <c r="A32" s="36" t="s">
        <v>221</v>
      </c>
      <c r="B32" s="36" t="s">
        <v>51</v>
      </c>
      <c r="C32" s="36" t="s">
        <v>220</v>
      </c>
      <c r="D32" s="39" t="s">
        <v>219</v>
      </c>
      <c r="E32" s="39"/>
      <c r="F32" s="41" t="s">
        <v>91</v>
      </c>
      <c r="G32" s="42">
        <f>[1]산출집계!H31</f>
        <v>5</v>
      </c>
      <c r="H32" s="40"/>
      <c r="I32" s="40">
        <f>TRUNC(G32*H32)</f>
        <v>0</v>
      </c>
      <c r="J32" s="40">
        <f>[1]산출집계!J31</f>
        <v>5</v>
      </c>
      <c r="K32" s="40">
        <f>[1]합산자재!I56</f>
        <v>0</v>
      </c>
      <c r="L32" s="40">
        <f>TRUNC(G32*K32)</f>
        <v>0</v>
      </c>
      <c r="M32" s="40">
        <f>[1]합산자재!J56</f>
        <v>0</v>
      </c>
      <c r="N32" s="40">
        <f>TRUNC(G32*M32)</f>
        <v>0</v>
      </c>
      <c r="O32" s="40"/>
      <c r="P32" s="40">
        <f>SUM(I32,L32,N32)</f>
        <v>0</v>
      </c>
      <c r="Q32" s="39" t="s">
        <v>215</v>
      </c>
    </row>
    <row r="33" spans="1:31" ht="23.1" customHeight="1" x14ac:dyDescent="0.15">
      <c r="A33" s="36" t="s">
        <v>218</v>
      </c>
      <c r="B33" s="36" t="s">
        <v>51</v>
      </c>
      <c r="C33" s="36" t="s">
        <v>217</v>
      </c>
      <c r="D33" s="39" t="s">
        <v>216</v>
      </c>
      <c r="E33" s="39"/>
      <c r="F33" s="41" t="s">
        <v>91</v>
      </c>
      <c r="G33" s="42">
        <f>[1]산출집계!H32</f>
        <v>2</v>
      </c>
      <c r="H33" s="40"/>
      <c r="I33" s="40">
        <f>TRUNC(G33*H33)</f>
        <v>0</v>
      </c>
      <c r="J33" s="40">
        <f>[1]산출집계!J32</f>
        <v>2</v>
      </c>
      <c r="K33" s="40">
        <f>[1]합산자재!I57</f>
        <v>0</v>
      </c>
      <c r="L33" s="40">
        <f>TRUNC(G33*K33)</f>
        <v>0</v>
      </c>
      <c r="M33" s="40">
        <f>[1]합산자재!J57</f>
        <v>0</v>
      </c>
      <c r="N33" s="40">
        <f>TRUNC(G33*M33)</f>
        <v>0</v>
      </c>
      <c r="O33" s="40"/>
      <c r="P33" s="40">
        <f>SUM(I33,L33,N33)</f>
        <v>0</v>
      </c>
      <c r="Q33" s="39" t="s">
        <v>215</v>
      </c>
    </row>
    <row r="34" spans="1:31" ht="23.1" customHeight="1" x14ac:dyDescent="0.15">
      <c r="A34" s="36" t="s">
        <v>214</v>
      </c>
      <c r="B34" s="36" t="s">
        <v>51</v>
      </c>
      <c r="C34" s="36" t="s">
        <v>213</v>
      </c>
      <c r="D34" s="39" t="s">
        <v>212</v>
      </c>
      <c r="E34" s="39" t="s">
        <v>211</v>
      </c>
      <c r="F34" s="41" t="s">
        <v>91</v>
      </c>
      <c r="G34" s="42">
        <f>[1]산출집계!H33</f>
        <v>5</v>
      </c>
      <c r="H34" s="40"/>
      <c r="I34" s="40"/>
      <c r="J34" s="40"/>
      <c r="K34" s="40"/>
      <c r="L34" s="40"/>
      <c r="M34" s="40"/>
      <c r="N34" s="40">
        <f>TRUNC(G34*M34)</f>
        <v>0</v>
      </c>
      <c r="O34" s="40"/>
      <c r="P34" s="40">
        <f>SUM(I34,L34,N34)</f>
        <v>0</v>
      </c>
      <c r="Q34" s="39" t="s">
        <v>90</v>
      </c>
    </row>
    <row r="35" spans="1:31" ht="23.1" customHeight="1" x14ac:dyDescent="0.15">
      <c r="A35" s="36" t="s">
        <v>210</v>
      </c>
      <c r="B35" s="36" t="s">
        <v>51</v>
      </c>
      <c r="C35" s="36" t="s">
        <v>209</v>
      </c>
      <c r="D35" s="39" t="s">
        <v>208</v>
      </c>
      <c r="E35" s="39"/>
      <c r="F35" s="41" t="s">
        <v>91</v>
      </c>
      <c r="G35" s="42">
        <f>[1]산출집계!H34</f>
        <v>1</v>
      </c>
      <c r="H35" s="40"/>
      <c r="I35" s="40"/>
      <c r="J35" s="40"/>
      <c r="K35" s="40"/>
      <c r="L35" s="40"/>
      <c r="M35" s="40"/>
      <c r="N35" s="40">
        <f>TRUNC(G35*M35)</f>
        <v>0</v>
      </c>
      <c r="O35" s="40"/>
      <c r="P35" s="40">
        <f>SUM(I35,L35,N35)</f>
        <v>0</v>
      </c>
      <c r="Q35" s="39"/>
    </row>
    <row r="36" spans="1:31" ht="23.1" customHeight="1" x14ac:dyDescent="0.15">
      <c r="A36" s="36" t="s">
        <v>207</v>
      </c>
      <c r="B36" s="36" t="s">
        <v>51</v>
      </c>
      <c r="C36" s="36" t="s">
        <v>206</v>
      </c>
      <c r="D36" s="39" t="s">
        <v>205</v>
      </c>
      <c r="E36" s="39" t="s">
        <v>204</v>
      </c>
      <c r="F36" s="41" t="s">
        <v>91</v>
      </c>
      <c r="G36" s="42">
        <f>[1]산출집계!H35</f>
        <v>8</v>
      </c>
      <c r="H36" s="40"/>
      <c r="I36" s="40"/>
      <c r="J36" s="40"/>
      <c r="K36" s="40"/>
      <c r="L36" s="40"/>
      <c r="M36" s="40"/>
      <c r="N36" s="40">
        <f>TRUNC(G36*M36)</f>
        <v>0</v>
      </c>
      <c r="O36" s="40"/>
      <c r="P36" s="40">
        <f>SUM(I36,L36,N36)</f>
        <v>0</v>
      </c>
      <c r="Q36" s="39"/>
    </row>
    <row r="37" spans="1:31" ht="23.1" customHeight="1" x14ac:dyDescent="0.15">
      <c r="A37" s="36" t="s">
        <v>203</v>
      </c>
      <c r="B37" s="36" t="s">
        <v>51</v>
      </c>
      <c r="C37" s="36" t="s">
        <v>202</v>
      </c>
      <c r="D37" s="39" t="s">
        <v>201</v>
      </c>
      <c r="E37" s="39" t="s">
        <v>200</v>
      </c>
      <c r="F37" s="41" t="s">
        <v>91</v>
      </c>
      <c r="G37" s="42">
        <f>[1]산출집계!H36</f>
        <v>9</v>
      </c>
      <c r="H37" s="40"/>
      <c r="I37" s="40"/>
      <c r="J37" s="40"/>
      <c r="K37" s="40"/>
      <c r="L37" s="40"/>
      <c r="M37" s="40"/>
      <c r="N37" s="40">
        <f>TRUNC(G37*M37)</f>
        <v>0</v>
      </c>
      <c r="O37" s="40"/>
      <c r="P37" s="40">
        <f>SUM(I37,L37,N37)</f>
        <v>0</v>
      </c>
      <c r="Q37" s="39"/>
    </row>
    <row r="38" spans="1:31" ht="23.1" customHeight="1" x14ac:dyDescent="0.15">
      <c r="A38" s="36" t="s">
        <v>199</v>
      </c>
      <c r="B38" s="36" t="s">
        <v>51</v>
      </c>
      <c r="C38" s="36" t="s">
        <v>198</v>
      </c>
      <c r="D38" s="39" t="s">
        <v>197</v>
      </c>
      <c r="E38" s="39"/>
      <c r="F38" s="41" t="s">
        <v>91</v>
      </c>
      <c r="G38" s="42">
        <f>[1]산출집계!H37</f>
        <v>1</v>
      </c>
      <c r="H38" s="40"/>
      <c r="I38" s="40"/>
      <c r="J38" s="40"/>
      <c r="K38" s="40"/>
      <c r="L38" s="40"/>
      <c r="M38" s="40"/>
      <c r="N38" s="40">
        <f>TRUNC(G38*M38)</f>
        <v>0</v>
      </c>
      <c r="O38" s="40"/>
      <c r="P38" s="40">
        <f>SUM(I38,L38,N38)</f>
        <v>0</v>
      </c>
      <c r="Q38" s="39"/>
    </row>
    <row r="39" spans="1:31" ht="23.1" customHeight="1" x14ac:dyDescent="0.15">
      <c r="A39" s="36" t="s">
        <v>196</v>
      </c>
      <c r="B39" s="36" t="s">
        <v>51</v>
      </c>
      <c r="C39" s="36" t="s">
        <v>195</v>
      </c>
      <c r="D39" s="39" t="s">
        <v>194</v>
      </c>
      <c r="E39" s="39"/>
      <c r="F39" s="41" t="s">
        <v>187</v>
      </c>
      <c r="G39" s="42">
        <f>[1]산출집계!H42</f>
        <v>1</v>
      </c>
      <c r="H39" s="40"/>
      <c r="I39" s="40"/>
      <c r="J39" s="40"/>
      <c r="K39" s="40"/>
      <c r="L39" s="40"/>
      <c r="M39" s="40"/>
      <c r="N39" s="40">
        <f>TRUNC(G39*M39)</f>
        <v>0</v>
      </c>
      <c r="O39" s="40"/>
      <c r="P39" s="40">
        <f>SUM(I39,L39,N39)</f>
        <v>0</v>
      </c>
      <c r="Q39" s="39"/>
    </row>
    <row r="40" spans="1:31" ht="23.1" customHeight="1" x14ac:dyDescent="0.15">
      <c r="A40" s="36" t="s">
        <v>193</v>
      </c>
      <c r="B40" s="36" t="s">
        <v>51</v>
      </c>
      <c r="C40" s="36" t="s">
        <v>192</v>
      </c>
      <c r="D40" s="39" t="s">
        <v>191</v>
      </c>
      <c r="E40" s="39"/>
      <c r="F40" s="41" t="s">
        <v>91</v>
      </c>
      <c r="G40" s="42">
        <f>[1]산출집계!H43</f>
        <v>9</v>
      </c>
      <c r="H40" s="40"/>
      <c r="I40" s="40"/>
      <c r="J40" s="40"/>
      <c r="K40" s="40"/>
      <c r="L40" s="40"/>
      <c r="M40" s="40"/>
      <c r="N40" s="40">
        <f>TRUNC(G40*M40)</f>
        <v>0</v>
      </c>
      <c r="O40" s="40"/>
      <c r="P40" s="40">
        <f>SUM(I40,L40,N40)</f>
        <v>0</v>
      </c>
      <c r="Q40" s="39" t="s">
        <v>90</v>
      </c>
      <c r="Z40" s="35" t="s">
        <v>73</v>
      </c>
    </row>
    <row r="41" spans="1:31" ht="23.1" customHeight="1" x14ac:dyDescent="0.15">
      <c r="A41" s="36" t="s">
        <v>190</v>
      </c>
      <c r="B41" s="36" t="s">
        <v>51</v>
      </c>
      <c r="C41" s="36" t="s">
        <v>189</v>
      </c>
      <c r="D41" s="39" t="s">
        <v>188</v>
      </c>
      <c r="E41" s="39"/>
      <c r="F41" s="41" t="s">
        <v>187</v>
      </c>
      <c r="G41" s="42">
        <f>[1]산출집계!H44</f>
        <v>1</v>
      </c>
      <c r="H41" s="40"/>
      <c r="I41" s="40"/>
      <c r="J41" s="40"/>
      <c r="K41" s="40"/>
      <c r="L41" s="40"/>
      <c r="M41" s="40"/>
      <c r="N41" s="40">
        <f>TRUNC(G41*M41)</f>
        <v>0</v>
      </c>
      <c r="O41" s="40"/>
      <c r="P41" s="40">
        <f>SUM(I41,L41,N41)</f>
        <v>0</v>
      </c>
      <c r="Q41" s="39" t="s">
        <v>186</v>
      </c>
    </row>
    <row r="42" spans="1:31" ht="23.1" customHeight="1" x14ac:dyDescent="0.15">
      <c r="A42" s="36" t="s">
        <v>89</v>
      </c>
      <c r="B42" s="36" t="s">
        <v>51</v>
      </c>
      <c r="C42" s="36" t="s">
        <v>88</v>
      </c>
      <c r="D42" s="39" t="s">
        <v>87</v>
      </c>
      <c r="E42" s="39" t="s">
        <v>86</v>
      </c>
      <c r="F42" s="41" t="s">
        <v>47</v>
      </c>
      <c r="G42" s="42">
        <v>1</v>
      </c>
      <c r="H42" s="40"/>
      <c r="I42" s="40"/>
      <c r="J42" s="40"/>
      <c r="K42" s="40"/>
      <c r="L42" s="40"/>
      <c r="M42" s="40"/>
      <c r="N42" s="40">
        <f>TRUNC(G42*M42)</f>
        <v>0</v>
      </c>
      <c r="O42" s="40"/>
      <c r="P42" s="40">
        <f>SUM(I42,L42,N42)</f>
        <v>0</v>
      </c>
      <c r="Q42" s="39"/>
      <c r="AC42" s="37">
        <f>TRUNC(TRUNC(SUM(AC4:AC41))*[1]옵션!$B$33/100)</f>
        <v>0</v>
      </c>
      <c r="AD42" s="37">
        <f>TRUNC(SUM(I4:I41))+TRUNC(SUM(N4:N41))</f>
        <v>0</v>
      </c>
    </row>
    <row r="43" spans="1:31" ht="23.1" customHeight="1" x14ac:dyDescent="0.15">
      <c r="A43" s="36" t="s">
        <v>85</v>
      </c>
      <c r="B43" s="36" t="s">
        <v>51</v>
      </c>
      <c r="C43" s="36" t="s">
        <v>84</v>
      </c>
      <c r="D43" s="39" t="s">
        <v>80</v>
      </c>
      <c r="E43" s="39" t="s">
        <v>83</v>
      </c>
      <c r="F43" s="41" t="s">
        <v>78</v>
      </c>
      <c r="G43" s="42">
        <f>[1]노임근거!G40</f>
        <v>33.25</v>
      </c>
      <c r="H43" s="40"/>
      <c r="I43" s="40"/>
      <c r="J43" s="40"/>
      <c r="K43" s="40"/>
      <c r="L43" s="40"/>
      <c r="M43" s="40"/>
      <c r="N43" s="40">
        <f>TRUNC(G43*M43)</f>
        <v>0</v>
      </c>
      <c r="O43" s="40"/>
      <c r="P43" s="40">
        <f>SUM(I43,L43,N43)</f>
        <v>0</v>
      </c>
      <c r="Q43" s="39"/>
      <c r="AE43" s="37">
        <f>L43</f>
        <v>0</v>
      </c>
    </row>
    <row r="44" spans="1:31" ht="23.1" customHeight="1" x14ac:dyDescent="0.15">
      <c r="A44" s="36" t="s">
        <v>185</v>
      </c>
      <c r="B44" s="36" t="s">
        <v>51</v>
      </c>
      <c r="C44" s="36" t="s">
        <v>184</v>
      </c>
      <c r="D44" s="39" t="s">
        <v>80</v>
      </c>
      <c r="E44" s="39" t="s">
        <v>183</v>
      </c>
      <c r="F44" s="41" t="s">
        <v>78</v>
      </c>
      <c r="G44" s="42">
        <f>[1]노임근거!G41</f>
        <v>7.42</v>
      </c>
      <c r="H44" s="40"/>
      <c r="I44" s="40"/>
      <c r="J44" s="40"/>
      <c r="K44" s="40"/>
      <c r="L44" s="40"/>
      <c r="M44" s="40"/>
      <c r="N44" s="40">
        <f>TRUNC(G44*M44)</f>
        <v>0</v>
      </c>
      <c r="O44" s="40"/>
      <c r="P44" s="40">
        <f>SUM(I44,L44,N44)</f>
        <v>0</v>
      </c>
      <c r="Q44" s="39"/>
      <c r="AE44" s="37">
        <f>L44</f>
        <v>0</v>
      </c>
    </row>
    <row r="45" spans="1:31" ht="23.1" customHeight="1" x14ac:dyDescent="0.15">
      <c r="A45" s="36" t="s">
        <v>182</v>
      </c>
      <c r="B45" s="36" t="s">
        <v>51</v>
      </c>
      <c r="C45" s="36" t="s">
        <v>181</v>
      </c>
      <c r="D45" s="39" t="s">
        <v>80</v>
      </c>
      <c r="E45" s="39" t="s">
        <v>180</v>
      </c>
      <c r="F45" s="41" t="s">
        <v>78</v>
      </c>
      <c r="G45" s="42">
        <f>[1]노임근거!G42</f>
        <v>4.4999999999999998E-2</v>
      </c>
      <c r="H45" s="40"/>
      <c r="I45" s="40"/>
      <c r="J45" s="40"/>
      <c r="K45" s="40"/>
      <c r="L45" s="40"/>
      <c r="M45" s="40"/>
      <c r="N45" s="40">
        <f>TRUNC(G45*M45)</f>
        <v>0</v>
      </c>
      <c r="O45" s="40"/>
      <c r="P45" s="40">
        <f>SUM(I45,L45,N45)</f>
        <v>0</v>
      </c>
      <c r="Q45" s="39"/>
      <c r="AE45" s="37">
        <f>L45</f>
        <v>0</v>
      </c>
    </row>
    <row r="46" spans="1:31" ht="23.1" customHeight="1" x14ac:dyDescent="0.15">
      <c r="A46" s="36" t="s">
        <v>82</v>
      </c>
      <c r="B46" s="36" t="s">
        <v>51</v>
      </c>
      <c r="C46" s="36" t="s">
        <v>81</v>
      </c>
      <c r="D46" s="39" t="s">
        <v>80</v>
      </c>
      <c r="E46" s="39" t="s">
        <v>79</v>
      </c>
      <c r="F46" s="41" t="s">
        <v>78</v>
      </c>
      <c r="G46" s="42">
        <f>[1]노임근거!G43</f>
        <v>3.58</v>
      </c>
      <c r="H46" s="40"/>
      <c r="I46" s="40"/>
      <c r="J46" s="40"/>
      <c r="K46" s="40"/>
      <c r="L46" s="40"/>
      <c r="M46" s="40"/>
      <c r="N46" s="40">
        <f>TRUNC(G46*M46)</f>
        <v>0</v>
      </c>
      <c r="O46" s="40"/>
      <c r="P46" s="40">
        <f>SUM(I46,L46,N46)</f>
        <v>0</v>
      </c>
      <c r="Q46" s="39"/>
      <c r="AE46" s="37">
        <f>L46</f>
        <v>0</v>
      </c>
    </row>
    <row r="47" spans="1:31" ht="23.1" customHeight="1" x14ac:dyDescent="0.15">
      <c r="A47" s="36" t="s">
        <v>179</v>
      </c>
      <c r="B47" s="36" t="s">
        <v>51</v>
      </c>
      <c r="C47" s="36" t="s">
        <v>178</v>
      </c>
      <c r="D47" s="39" t="s">
        <v>80</v>
      </c>
      <c r="E47" s="39" t="s">
        <v>177</v>
      </c>
      <c r="F47" s="41" t="s">
        <v>78</v>
      </c>
      <c r="G47" s="42">
        <f>[1]노임근거!G44</f>
        <v>1.36</v>
      </c>
      <c r="H47" s="40"/>
      <c r="I47" s="40"/>
      <c r="J47" s="40"/>
      <c r="K47" s="40"/>
      <c r="L47" s="40"/>
      <c r="M47" s="40"/>
      <c r="N47" s="40">
        <f>TRUNC(G47*M47)</f>
        <v>0</v>
      </c>
      <c r="O47" s="40"/>
      <c r="P47" s="40">
        <f>SUM(I47,L47,N47)</f>
        <v>0</v>
      </c>
      <c r="Q47" s="39"/>
      <c r="AE47" s="37">
        <f>L47</f>
        <v>0</v>
      </c>
    </row>
    <row r="48" spans="1:31" ht="23.1" customHeight="1" x14ac:dyDescent="0.15">
      <c r="A48" s="36" t="s">
        <v>77</v>
      </c>
      <c r="B48" s="36" t="s">
        <v>51</v>
      </c>
      <c r="C48" s="36" t="s">
        <v>76</v>
      </c>
      <c r="D48" s="39" t="s">
        <v>75</v>
      </c>
      <c r="E48" s="39" t="s">
        <v>74</v>
      </c>
      <c r="F48" s="41" t="s">
        <v>47</v>
      </c>
      <c r="G48" s="42">
        <v>1</v>
      </c>
      <c r="H48" s="40"/>
      <c r="I48" s="40"/>
      <c r="J48" s="40"/>
      <c r="K48" s="40"/>
      <c r="L48" s="40"/>
      <c r="M48" s="40"/>
      <c r="N48" s="40">
        <f>TRUNC(G48*M48)</f>
        <v>0</v>
      </c>
      <c r="O48" s="40"/>
      <c r="P48" s="40">
        <f>SUM(I48,L48,N48)</f>
        <v>0</v>
      </c>
      <c r="Q48" s="39"/>
    </row>
    <row r="49" spans="1:31" ht="23.1" customHeight="1" x14ac:dyDescent="0.15">
      <c r="D49" s="39"/>
      <c r="E49" s="39"/>
      <c r="F49" s="41"/>
      <c r="G49" s="42"/>
      <c r="H49" s="40"/>
      <c r="I49" s="40"/>
      <c r="J49" s="40"/>
      <c r="K49" s="40"/>
      <c r="L49" s="40"/>
      <c r="M49" s="40"/>
      <c r="N49" s="40">
        <f>TRUNC(G49*M49)</f>
        <v>0</v>
      </c>
      <c r="O49" s="40"/>
      <c r="P49" s="40">
        <f>SUM(I49,L49,N49)</f>
        <v>0</v>
      </c>
      <c r="Q49" s="39"/>
      <c r="AC49" s="37">
        <f>TRUNC(AE49*[1]옵션!$B$36/100)</f>
        <v>0</v>
      </c>
      <c r="AD49" s="37">
        <f>TRUNC(SUM(L4:L47))</f>
        <v>0</v>
      </c>
      <c r="AE49" s="37">
        <f>TRUNC(SUM(AE4:AE48))</f>
        <v>0</v>
      </c>
    </row>
    <row r="50" spans="1:31" ht="23.1" customHeight="1" x14ac:dyDescent="0.15">
      <c r="D50" s="39"/>
      <c r="E50" s="39"/>
      <c r="F50" s="41"/>
      <c r="G50" s="42"/>
      <c r="H50" s="40"/>
      <c r="I50" s="40"/>
      <c r="J50" s="40"/>
      <c r="K50" s="40"/>
      <c r="L50" s="40"/>
      <c r="M50" s="40"/>
      <c r="N50" s="40">
        <f>TRUNC(G50*M50)</f>
        <v>0</v>
      </c>
      <c r="O50" s="40"/>
      <c r="P50" s="40">
        <f>SUM(I50,L50,N50)</f>
        <v>0</v>
      </c>
      <c r="Q50" s="39"/>
    </row>
    <row r="51" spans="1:31" ht="23.1" customHeight="1" x14ac:dyDescent="0.15">
      <c r="D51" s="39"/>
      <c r="E51" s="39"/>
      <c r="F51" s="41"/>
      <c r="G51" s="42"/>
      <c r="H51" s="40"/>
      <c r="I51" s="40">
        <f>TRUNC(G51*H51)</f>
        <v>0</v>
      </c>
      <c r="J51" s="40"/>
      <c r="K51" s="40"/>
      <c r="L51" s="40">
        <f>TRUNC(G51*K51)</f>
        <v>0</v>
      </c>
      <c r="M51" s="40"/>
      <c r="N51" s="40">
        <f>TRUNC(G51*M51)</f>
        <v>0</v>
      </c>
      <c r="O51" s="40"/>
      <c r="P51" s="40">
        <f>SUM(I51,L51,N51)</f>
        <v>0</v>
      </c>
      <c r="Q51" s="39"/>
    </row>
    <row r="52" spans="1:31" ht="23.1" customHeight="1" x14ac:dyDescent="0.15">
      <c r="D52" s="39"/>
      <c r="E52" s="39"/>
      <c r="F52" s="41"/>
      <c r="G52" s="42"/>
      <c r="H52" s="40"/>
      <c r="I52" s="40">
        <f>TRUNC(G52*H52)</f>
        <v>0</v>
      </c>
      <c r="J52" s="40"/>
      <c r="K52" s="40"/>
      <c r="L52" s="40">
        <f>TRUNC(G52*K52)</f>
        <v>0</v>
      </c>
      <c r="M52" s="40"/>
      <c r="N52" s="40">
        <f>TRUNC(G52*M52)</f>
        <v>0</v>
      </c>
      <c r="O52" s="40"/>
      <c r="P52" s="40">
        <f>SUM(I52,L52,N52)</f>
        <v>0</v>
      </c>
      <c r="Q52" s="39"/>
    </row>
    <row r="53" spans="1:31" ht="23.1" customHeight="1" x14ac:dyDescent="0.15">
      <c r="D53" s="39"/>
      <c r="E53" s="39"/>
      <c r="F53" s="41"/>
      <c r="G53" s="42"/>
      <c r="H53" s="40"/>
      <c r="I53" s="40">
        <f>TRUNC(G53*H53)</f>
        <v>0</v>
      </c>
      <c r="J53" s="40"/>
      <c r="K53" s="40"/>
      <c r="L53" s="40">
        <f>TRUNC(G53*K53)</f>
        <v>0</v>
      </c>
      <c r="M53" s="40"/>
      <c r="N53" s="40">
        <f>TRUNC(G53*M53)</f>
        <v>0</v>
      </c>
      <c r="O53" s="40"/>
      <c r="P53" s="40">
        <f>SUM(I53,L53,N53)</f>
        <v>0</v>
      </c>
      <c r="Q53" s="39"/>
    </row>
    <row r="54" spans="1:31" ht="23.1" customHeight="1" x14ac:dyDescent="0.15">
      <c r="D54" s="39"/>
      <c r="E54" s="39"/>
      <c r="F54" s="41"/>
      <c r="G54" s="42"/>
      <c r="H54" s="40"/>
      <c r="I54" s="40">
        <f>TRUNC(G54*H54)</f>
        <v>0</v>
      </c>
      <c r="J54" s="40"/>
      <c r="K54" s="40"/>
      <c r="L54" s="40">
        <f>TRUNC(G54*K54)</f>
        <v>0</v>
      </c>
      <c r="M54" s="40"/>
      <c r="N54" s="40">
        <f>TRUNC(G54*M54)</f>
        <v>0</v>
      </c>
      <c r="O54" s="40"/>
      <c r="P54" s="40">
        <f>SUM(I54,L54,N54)</f>
        <v>0</v>
      </c>
      <c r="Q54" s="39"/>
    </row>
    <row r="55" spans="1:31" ht="23.1" customHeight="1" x14ac:dyDescent="0.15">
      <c r="B55" s="36" t="s">
        <v>72</v>
      </c>
      <c r="D55" s="39" t="s">
        <v>44</v>
      </c>
      <c r="E55" s="39"/>
      <c r="F55" s="41"/>
      <c r="G55" s="42"/>
      <c r="H55" s="40"/>
      <c r="I55" s="40">
        <f>TRUNC(SUM(I4:I54))</f>
        <v>0</v>
      </c>
      <c r="J55" s="40"/>
      <c r="K55" s="40"/>
      <c r="L55" s="40">
        <f>TRUNC(SUM(L4:L54))</f>
        <v>0</v>
      </c>
      <c r="M55" s="40"/>
      <c r="N55" s="40">
        <f>TRUNC(SUM(N4:N54))</f>
        <v>0</v>
      </c>
      <c r="O55" s="40"/>
      <c r="P55" s="40">
        <f>TRUNC(SUM(P4:P54))</f>
        <v>0</v>
      </c>
      <c r="Q55" s="39"/>
    </row>
    <row r="56" spans="1:31" ht="23.1" customHeight="1" x14ac:dyDescent="0.15">
      <c r="B56" s="36" t="s">
        <v>53</v>
      </c>
      <c r="D56" s="45" t="s">
        <v>176</v>
      </c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3"/>
    </row>
    <row r="57" spans="1:31" ht="23.1" customHeight="1" x14ac:dyDescent="0.15">
      <c r="A57" s="36" t="s">
        <v>175</v>
      </c>
      <c r="B57" s="36" t="s">
        <v>49</v>
      </c>
      <c r="C57" s="36" t="s">
        <v>174</v>
      </c>
      <c r="D57" s="39" t="s">
        <v>170</v>
      </c>
      <c r="E57" s="39" t="s">
        <v>173</v>
      </c>
      <c r="F57" s="41" t="s">
        <v>96</v>
      </c>
      <c r="G57" s="42">
        <f>[1]산출집계!H79</f>
        <v>19</v>
      </c>
      <c r="H57" s="40"/>
      <c r="I57" s="40"/>
      <c r="J57" s="40"/>
      <c r="K57" s="40"/>
      <c r="L57" s="40"/>
      <c r="M57" s="40"/>
      <c r="N57" s="40"/>
      <c r="O57" s="40"/>
      <c r="P57" s="40">
        <f>SUM(I57,L57,N57)</f>
        <v>0</v>
      </c>
      <c r="Q57" s="39"/>
      <c r="AA57" s="37">
        <f>G57*H57</f>
        <v>0</v>
      </c>
      <c r="AC57" s="37">
        <f>G57*H57</f>
        <v>0</v>
      </c>
    </row>
    <row r="58" spans="1:31" ht="23.1" customHeight="1" x14ac:dyDescent="0.15">
      <c r="A58" s="36" t="s">
        <v>172</v>
      </c>
      <c r="B58" s="36" t="s">
        <v>49</v>
      </c>
      <c r="C58" s="36" t="s">
        <v>171</v>
      </c>
      <c r="D58" s="39" t="s">
        <v>170</v>
      </c>
      <c r="E58" s="39" t="s">
        <v>169</v>
      </c>
      <c r="F58" s="41" t="s">
        <v>96</v>
      </c>
      <c r="G58" s="42">
        <f>[1]산출집계!H80</f>
        <v>20</v>
      </c>
      <c r="H58" s="40"/>
      <c r="I58" s="40"/>
      <c r="J58" s="40"/>
      <c r="K58" s="40"/>
      <c r="L58" s="40"/>
      <c r="M58" s="40"/>
      <c r="N58" s="40"/>
      <c r="O58" s="40"/>
      <c r="P58" s="40">
        <f>SUM(I58,L58,N58)</f>
        <v>0</v>
      </c>
      <c r="Q58" s="39"/>
      <c r="AA58" s="37">
        <f>G58*H58</f>
        <v>0</v>
      </c>
      <c r="AC58" s="37">
        <f>G58*H58</f>
        <v>0</v>
      </c>
    </row>
    <row r="59" spans="1:31" ht="23.1" customHeight="1" x14ac:dyDescent="0.15">
      <c r="A59" s="36" t="s">
        <v>168</v>
      </c>
      <c r="B59" s="36" t="s">
        <v>49</v>
      </c>
      <c r="C59" s="36" t="s">
        <v>167</v>
      </c>
      <c r="D59" s="39" t="s">
        <v>166</v>
      </c>
      <c r="E59" s="39" t="s">
        <v>165</v>
      </c>
      <c r="F59" s="41" t="s">
        <v>47</v>
      </c>
      <c r="G59" s="42">
        <v>1</v>
      </c>
      <c r="H59" s="40"/>
      <c r="I59" s="40"/>
      <c r="J59" s="40"/>
      <c r="K59" s="40"/>
      <c r="L59" s="40"/>
      <c r="M59" s="40"/>
      <c r="N59" s="40"/>
      <c r="O59" s="40"/>
      <c r="P59" s="40">
        <f>SUM(I59,L59,N59)</f>
        <v>0</v>
      </c>
      <c r="Q59" s="39"/>
      <c r="AA59" s="37">
        <f>TRUNC(SUM(AA56:AA58))</f>
        <v>0</v>
      </c>
    </row>
    <row r="60" spans="1:31" ht="23.1" customHeight="1" x14ac:dyDescent="0.15">
      <c r="A60" s="36" t="s">
        <v>164</v>
      </c>
      <c r="B60" s="36" t="s">
        <v>49</v>
      </c>
      <c r="C60" s="36" t="s">
        <v>163</v>
      </c>
      <c r="D60" s="39" t="s">
        <v>159</v>
      </c>
      <c r="E60" s="39" t="s">
        <v>162</v>
      </c>
      <c r="F60" s="41" t="s">
        <v>96</v>
      </c>
      <c r="G60" s="42">
        <f>[1]산출집계!H81</f>
        <v>93</v>
      </c>
      <c r="H60" s="40"/>
      <c r="I60" s="40"/>
      <c r="J60" s="40"/>
      <c r="K60" s="40"/>
      <c r="L60" s="40"/>
      <c r="M60" s="40"/>
      <c r="N60" s="40"/>
      <c r="O60" s="40"/>
      <c r="P60" s="40">
        <f>SUM(I60,L60,N60)</f>
        <v>0</v>
      </c>
      <c r="Q60" s="39"/>
      <c r="AC60" s="37">
        <f>G60*H60</f>
        <v>0</v>
      </c>
    </row>
    <row r="61" spans="1:31" ht="23.1" customHeight="1" x14ac:dyDescent="0.15">
      <c r="A61" s="36" t="s">
        <v>161</v>
      </c>
      <c r="B61" s="36" t="s">
        <v>49</v>
      </c>
      <c r="C61" s="36" t="s">
        <v>160</v>
      </c>
      <c r="D61" s="39" t="s">
        <v>159</v>
      </c>
      <c r="E61" s="39" t="s">
        <v>158</v>
      </c>
      <c r="F61" s="41" t="s">
        <v>96</v>
      </c>
      <c r="G61" s="42">
        <f>[1]산출집계!H82</f>
        <v>10</v>
      </c>
      <c r="H61" s="40"/>
      <c r="I61" s="40"/>
      <c r="J61" s="40"/>
      <c r="K61" s="40"/>
      <c r="L61" s="40"/>
      <c r="M61" s="40"/>
      <c r="N61" s="40"/>
      <c r="O61" s="40"/>
      <c r="P61" s="40">
        <f>SUM(I61,L61,N61)</f>
        <v>0</v>
      </c>
      <c r="Q61" s="39"/>
      <c r="AC61" s="37">
        <f>G61*H61</f>
        <v>0</v>
      </c>
    </row>
    <row r="62" spans="1:31" ht="23.1" customHeight="1" x14ac:dyDescent="0.15">
      <c r="A62" s="36" t="s">
        <v>157</v>
      </c>
      <c r="B62" s="36" t="s">
        <v>49</v>
      </c>
      <c r="C62" s="36" t="s">
        <v>156</v>
      </c>
      <c r="D62" s="39" t="s">
        <v>155</v>
      </c>
      <c r="E62" s="39" t="s">
        <v>154</v>
      </c>
      <c r="F62" s="41" t="s">
        <v>125</v>
      </c>
      <c r="G62" s="42">
        <f>[1]산출집계!H83</f>
        <v>19</v>
      </c>
      <c r="H62" s="40"/>
      <c r="I62" s="40"/>
      <c r="J62" s="40"/>
      <c r="K62" s="40"/>
      <c r="L62" s="40"/>
      <c r="M62" s="40"/>
      <c r="N62" s="40"/>
      <c r="O62" s="40"/>
      <c r="P62" s="40">
        <f>SUM(I62,L62,N62)</f>
        <v>0</v>
      </c>
      <c r="Q62" s="39"/>
    </row>
    <row r="63" spans="1:31" ht="23.1" customHeight="1" x14ac:dyDescent="0.15">
      <c r="A63" s="36" t="s">
        <v>153</v>
      </c>
      <c r="B63" s="36" t="s">
        <v>49</v>
      </c>
      <c r="C63" s="36" t="s">
        <v>152</v>
      </c>
      <c r="D63" s="39" t="s">
        <v>148</v>
      </c>
      <c r="E63" s="39" t="s">
        <v>151</v>
      </c>
      <c r="F63" s="41" t="s">
        <v>125</v>
      </c>
      <c r="G63" s="42">
        <f>[1]산출집계!H84</f>
        <v>1</v>
      </c>
      <c r="H63" s="40"/>
      <c r="I63" s="40"/>
      <c r="J63" s="40"/>
      <c r="K63" s="40"/>
      <c r="L63" s="40"/>
      <c r="M63" s="40"/>
      <c r="N63" s="40"/>
      <c r="O63" s="40"/>
      <c r="P63" s="40">
        <f>SUM(I63,L63,N63)</f>
        <v>0</v>
      </c>
      <c r="Q63" s="39"/>
    </row>
    <row r="64" spans="1:31" ht="23.1" customHeight="1" x14ac:dyDescent="0.15">
      <c r="A64" s="36" t="s">
        <v>150</v>
      </c>
      <c r="B64" s="36" t="s">
        <v>49</v>
      </c>
      <c r="C64" s="36" t="s">
        <v>149</v>
      </c>
      <c r="D64" s="39" t="s">
        <v>148</v>
      </c>
      <c r="E64" s="39" t="s">
        <v>147</v>
      </c>
      <c r="F64" s="41" t="s">
        <v>125</v>
      </c>
      <c r="G64" s="42">
        <f>[1]산출집계!H85</f>
        <v>3</v>
      </c>
      <c r="H64" s="40"/>
      <c r="I64" s="40"/>
      <c r="J64" s="40"/>
      <c r="K64" s="40"/>
      <c r="L64" s="40"/>
      <c r="M64" s="40"/>
      <c r="N64" s="40"/>
      <c r="O64" s="40"/>
      <c r="P64" s="40">
        <f>SUM(I64,L64,N64)</f>
        <v>0</v>
      </c>
      <c r="Q64" s="39"/>
    </row>
    <row r="65" spans="1:30" ht="23.1" customHeight="1" x14ac:dyDescent="0.15">
      <c r="A65" s="36" t="s">
        <v>146</v>
      </c>
      <c r="B65" s="36" t="s">
        <v>49</v>
      </c>
      <c r="C65" s="36" t="s">
        <v>145</v>
      </c>
      <c r="D65" s="39" t="s">
        <v>144</v>
      </c>
      <c r="E65" s="39" t="s">
        <v>143</v>
      </c>
      <c r="F65" s="41" t="s">
        <v>125</v>
      </c>
      <c r="G65" s="42">
        <f>[1]산출집계!H86</f>
        <v>19</v>
      </c>
      <c r="H65" s="40"/>
      <c r="I65" s="40"/>
      <c r="J65" s="40"/>
      <c r="K65" s="40"/>
      <c r="L65" s="40"/>
      <c r="M65" s="40"/>
      <c r="N65" s="40"/>
      <c r="O65" s="40"/>
      <c r="P65" s="40">
        <f>SUM(I65,L65,N65)</f>
        <v>0</v>
      </c>
      <c r="Q65" s="39"/>
    </row>
    <row r="66" spans="1:30" ht="23.1" customHeight="1" x14ac:dyDescent="0.15">
      <c r="A66" s="36" t="s">
        <v>142</v>
      </c>
      <c r="B66" s="36" t="s">
        <v>49</v>
      </c>
      <c r="C66" s="36" t="s">
        <v>141</v>
      </c>
      <c r="D66" s="39" t="s">
        <v>140</v>
      </c>
      <c r="E66" s="39" t="s">
        <v>139</v>
      </c>
      <c r="F66" s="41" t="s">
        <v>96</v>
      </c>
      <c r="G66" s="42">
        <f>[1]산출집계!H87</f>
        <v>576</v>
      </c>
      <c r="H66" s="40"/>
      <c r="I66" s="40"/>
      <c r="J66" s="40"/>
      <c r="K66" s="40"/>
      <c r="L66" s="40"/>
      <c r="M66" s="40"/>
      <c r="N66" s="40"/>
      <c r="O66" s="40"/>
      <c r="P66" s="40">
        <f>SUM(I66,L66,N66)</f>
        <v>0</v>
      </c>
      <c r="Q66" s="39"/>
      <c r="AC66" s="37">
        <f>G66*H66</f>
        <v>0</v>
      </c>
    </row>
    <row r="67" spans="1:30" ht="23.1" customHeight="1" x14ac:dyDescent="0.15">
      <c r="A67" s="36" t="s">
        <v>138</v>
      </c>
      <c r="B67" s="36" t="s">
        <v>49</v>
      </c>
      <c r="C67" s="36" t="s">
        <v>137</v>
      </c>
      <c r="D67" s="39" t="s">
        <v>127</v>
      </c>
      <c r="E67" s="39" t="s">
        <v>136</v>
      </c>
      <c r="F67" s="41" t="s">
        <v>125</v>
      </c>
      <c r="G67" s="42">
        <f>[1]산출집계!H88</f>
        <v>1</v>
      </c>
      <c r="H67" s="40"/>
      <c r="I67" s="40"/>
      <c r="J67" s="40"/>
      <c r="K67" s="40"/>
      <c r="L67" s="40"/>
      <c r="M67" s="40"/>
      <c r="N67" s="40"/>
      <c r="O67" s="40"/>
      <c r="P67" s="40">
        <f>SUM(I67,L67,N67)</f>
        <v>0</v>
      </c>
      <c r="Q67" s="39"/>
    </row>
    <row r="68" spans="1:30" ht="23.1" customHeight="1" x14ac:dyDescent="0.15">
      <c r="A68" s="36" t="s">
        <v>135</v>
      </c>
      <c r="B68" s="36" t="s">
        <v>49</v>
      </c>
      <c r="C68" s="36" t="s">
        <v>134</v>
      </c>
      <c r="D68" s="39" t="s">
        <v>127</v>
      </c>
      <c r="E68" s="39" t="s">
        <v>133</v>
      </c>
      <c r="F68" s="41" t="s">
        <v>125</v>
      </c>
      <c r="G68" s="42">
        <f>[1]산출집계!H89</f>
        <v>1</v>
      </c>
      <c r="H68" s="40"/>
      <c r="I68" s="40"/>
      <c r="J68" s="40"/>
      <c r="K68" s="40"/>
      <c r="L68" s="40"/>
      <c r="M68" s="40"/>
      <c r="N68" s="40"/>
      <c r="O68" s="40"/>
      <c r="P68" s="40">
        <f>SUM(I68,L68,N68)</f>
        <v>0</v>
      </c>
      <c r="Q68" s="39"/>
    </row>
    <row r="69" spans="1:30" ht="23.1" customHeight="1" x14ac:dyDescent="0.15">
      <c r="A69" s="36" t="s">
        <v>132</v>
      </c>
      <c r="B69" s="36" t="s">
        <v>49</v>
      </c>
      <c r="C69" s="36" t="s">
        <v>131</v>
      </c>
      <c r="D69" s="39" t="s">
        <v>127</v>
      </c>
      <c r="E69" s="39" t="s">
        <v>130</v>
      </c>
      <c r="F69" s="41" t="s">
        <v>125</v>
      </c>
      <c r="G69" s="42">
        <f>[1]산출집계!H90</f>
        <v>1</v>
      </c>
      <c r="H69" s="40"/>
      <c r="I69" s="40"/>
      <c r="J69" s="40"/>
      <c r="K69" s="40"/>
      <c r="L69" s="40"/>
      <c r="M69" s="40"/>
      <c r="N69" s="40"/>
      <c r="O69" s="40"/>
      <c r="P69" s="40">
        <f>SUM(I69,L69,N69)</f>
        <v>0</v>
      </c>
      <c r="Q69" s="39"/>
    </row>
    <row r="70" spans="1:30" ht="23.1" customHeight="1" x14ac:dyDescent="0.15">
      <c r="A70" s="36" t="s">
        <v>129</v>
      </c>
      <c r="B70" s="36" t="s">
        <v>49</v>
      </c>
      <c r="C70" s="36" t="s">
        <v>128</v>
      </c>
      <c r="D70" s="39" t="s">
        <v>127</v>
      </c>
      <c r="E70" s="39" t="s">
        <v>126</v>
      </c>
      <c r="F70" s="41" t="s">
        <v>125</v>
      </c>
      <c r="G70" s="42">
        <f>[1]산출집계!H91</f>
        <v>1</v>
      </c>
      <c r="H70" s="40"/>
      <c r="I70" s="40"/>
      <c r="J70" s="40"/>
      <c r="K70" s="40"/>
      <c r="L70" s="40"/>
      <c r="M70" s="40"/>
      <c r="N70" s="40"/>
      <c r="O70" s="40"/>
      <c r="P70" s="40">
        <f>SUM(I70,L70,N70)</f>
        <v>0</v>
      </c>
      <c r="Q70" s="39"/>
    </row>
    <row r="71" spans="1:30" ht="23.1" customHeight="1" x14ac:dyDescent="0.15">
      <c r="A71" s="36" t="s">
        <v>124</v>
      </c>
      <c r="B71" s="36" t="s">
        <v>49</v>
      </c>
      <c r="C71" s="36" t="s">
        <v>123</v>
      </c>
      <c r="D71" s="39" t="s">
        <v>122</v>
      </c>
      <c r="E71" s="39"/>
      <c r="F71" s="41" t="s">
        <v>91</v>
      </c>
      <c r="G71" s="42">
        <f>[1]산출집계!H92</f>
        <v>13</v>
      </c>
      <c r="H71" s="40"/>
      <c r="I71" s="40"/>
      <c r="J71" s="40"/>
      <c r="K71" s="40"/>
      <c r="L71" s="40"/>
      <c r="M71" s="40"/>
      <c r="N71" s="40"/>
      <c r="O71" s="40"/>
      <c r="P71" s="40">
        <f>SUM(I71,L71,N71)</f>
        <v>0</v>
      </c>
      <c r="Q71" s="39"/>
    </row>
    <row r="72" spans="1:30" ht="23.1" customHeight="1" x14ac:dyDescent="0.15">
      <c r="A72" s="36" t="s">
        <v>121</v>
      </c>
      <c r="B72" s="36" t="s">
        <v>49</v>
      </c>
      <c r="C72" s="36" t="s">
        <v>120</v>
      </c>
      <c r="D72" s="39" t="s">
        <v>119</v>
      </c>
      <c r="E72" s="39" t="s">
        <v>118</v>
      </c>
      <c r="F72" s="41" t="s">
        <v>91</v>
      </c>
      <c r="G72" s="42">
        <f>[1]산출집계!H93</f>
        <v>3</v>
      </c>
      <c r="H72" s="40"/>
      <c r="I72" s="40"/>
      <c r="J72" s="40"/>
      <c r="K72" s="40"/>
      <c r="L72" s="40"/>
      <c r="M72" s="40"/>
      <c r="N72" s="40"/>
      <c r="O72" s="40"/>
      <c r="P72" s="40">
        <f>SUM(I72,L72,N72)</f>
        <v>0</v>
      </c>
      <c r="Q72" s="39"/>
    </row>
    <row r="73" spans="1:30" ht="23.1" customHeight="1" x14ac:dyDescent="0.15">
      <c r="A73" s="36" t="s">
        <v>117</v>
      </c>
      <c r="B73" s="36" t="s">
        <v>49</v>
      </c>
      <c r="C73" s="36" t="s">
        <v>116</v>
      </c>
      <c r="D73" s="39" t="s">
        <v>115</v>
      </c>
      <c r="E73" s="39" t="s">
        <v>114</v>
      </c>
      <c r="F73" s="41" t="s">
        <v>91</v>
      </c>
      <c r="G73" s="42">
        <f>[1]산출집계!H94</f>
        <v>10</v>
      </c>
      <c r="H73" s="40"/>
      <c r="I73" s="40"/>
      <c r="J73" s="40"/>
      <c r="K73" s="40"/>
      <c r="L73" s="40"/>
      <c r="M73" s="40"/>
      <c r="N73" s="40"/>
      <c r="O73" s="40"/>
      <c r="P73" s="40">
        <f>SUM(I73,L73,N73)</f>
        <v>0</v>
      </c>
      <c r="Q73" s="39"/>
    </row>
    <row r="74" spans="1:30" ht="23.1" customHeight="1" x14ac:dyDescent="0.15">
      <c r="A74" s="36" t="s">
        <v>113</v>
      </c>
      <c r="B74" s="36" t="s">
        <v>49</v>
      </c>
      <c r="C74" s="36" t="s">
        <v>112</v>
      </c>
      <c r="D74" s="39" t="s">
        <v>111</v>
      </c>
      <c r="E74" s="39"/>
      <c r="F74" s="41" t="s">
        <v>91</v>
      </c>
      <c r="G74" s="42">
        <f>[1]산출집계!H95</f>
        <v>8</v>
      </c>
      <c r="H74" s="40"/>
      <c r="I74" s="40"/>
      <c r="J74" s="40"/>
      <c r="K74" s="40"/>
      <c r="L74" s="40"/>
      <c r="M74" s="40"/>
      <c r="N74" s="40"/>
      <c r="O74" s="40"/>
      <c r="P74" s="40">
        <f>SUM(I74,L74,N74)</f>
        <v>0</v>
      </c>
      <c r="Q74" s="39"/>
    </row>
    <row r="75" spans="1:30" ht="23.1" customHeight="1" x14ac:dyDescent="0.15">
      <c r="A75" s="36" t="s">
        <v>110</v>
      </c>
      <c r="B75" s="36" t="s">
        <v>49</v>
      </c>
      <c r="C75" s="36" t="s">
        <v>109</v>
      </c>
      <c r="D75" s="39" t="s">
        <v>108</v>
      </c>
      <c r="E75" s="39" t="s">
        <v>107</v>
      </c>
      <c r="F75" s="41" t="s">
        <v>91</v>
      </c>
      <c r="G75" s="42">
        <f>[1]산출집계!H96</f>
        <v>44</v>
      </c>
      <c r="H75" s="40"/>
      <c r="I75" s="40"/>
      <c r="J75" s="40"/>
      <c r="K75" s="40"/>
      <c r="L75" s="40"/>
      <c r="M75" s="40"/>
      <c r="N75" s="40"/>
      <c r="O75" s="40"/>
      <c r="P75" s="40">
        <f>SUM(I75,L75,N75)</f>
        <v>0</v>
      </c>
      <c r="Q75" s="39"/>
    </row>
    <row r="76" spans="1:30" ht="23.1" customHeight="1" x14ac:dyDescent="0.15">
      <c r="A76" s="36" t="s">
        <v>106</v>
      </c>
      <c r="B76" s="36" t="s">
        <v>49</v>
      </c>
      <c r="C76" s="36" t="s">
        <v>105</v>
      </c>
      <c r="D76" s="39" t="s">
        <v>104</v>
      </c>
      <c r="E76" s="39" t="s">
        <v>103</v>
      </c>
      <c r="F76" s="41" t="s">
        <v>91</v>
      </c>
      <c r="G76" s="42">
        <f>[1]산출집계!H97</f>
        <v>3</v>
      </c>
      <c r="H76" s="40"/>
      <c r="I76" s="40"/>
      <c r="J76" s="40"/>
      <c r="K76" s="40"/>
      <c r="L76" s="40"/>
      <c r="M76" s="40"/>
      <c r="N76" s="40"/>
      <c r="O76" s="40"/>
      <c r="P76" s="40">
        <f>SUM(I76,L76,N76)</f>
        <v>0</v>
      </c>
      <c r="Q76" s="39"/>
    </row>
    <row r="77" spans="1:30" ht="23.1" customHeight="1" x14ac:dyDescent="0.15">
      <c r="A77" s="36" t="s">
        <v>102</v>
      </c>
      <c r="B77" s="36" t="s">
        <v>49</v>
      </c>
      <c r="C77" s="36" t="s">
        <v>101</v>
      </c>
      <c r="D77" s="39" t="s">
        <v>100</v>
      </c>
      <c r="E77" s="39"/>
      <c r="F77" s="41" t="s">
        <v>91</v>
      </c>
      <c r="G77" s="42">
        <f>[1]산출집계!H98</f>
        <v>20</v>
      </c>
      <c r="H77" s="40"/>
      <c r="I77" s="40"/>
      <c r="J77" s="40"/>
      <c r="K77" s="40"/>
      <c r="L77" s="40"/>
      <c r="M77" s="40"/>
      <c r="N77" s="40"/>
      <c r="O77" s="40"/>
      <c r="P77" s="40">
        <f>SUM(I77,L77,N77)</f>
        <v>0</v>
      </c>
      <c r="Q77" s="39" t="s">
        <v>90</v>
      </c>
    </row>
    <row r="78" spans="1:30" ht="23.1" customHeight="1" x14ac:dyDescent="0.15">
      <c r="A78" s="36" t="s">
        <v>99</v>
      </c>
      <c r="B78" s="36" t="s">
        <v>49</v>
      </c>
      <c r="C78" s="36" t="s">
        <v>98</v>
      </c>
      <c r="D78" s="39" t="s">
        <v>97</v>
      </c>
      <c r="E78" s="39"/>
      <c r="F78" s="41" t="s">
        <v>96</v>
      </c>
      <c r="G78" s="42">
        <f>[1]산출집계!H99</f>
        <v>4</v>
      </c>
      <c r="H78" s="40"/>
      <c r="I78" s="40"/>
      <c r="J78" s="40"/>
      <c r="K78" s="40"/>
      <c r="L78" s="40"/>
      <c r="M78" s="40"/>
      <c r="N78" s="40"/>
      <c r="O78" s="40"/>
      <c r="P78" s="40">
        <f>SUM(I78,L78,N78)</f>
        <v>0</v>
      </c>
      <c r="Q78" s="39" t="s">
        <v>95</v>
      </c>
      <c r="Z78" s="35" t="s">
        <v>73</v>
      </c>
      <c r="AC78" s="37">
        <f>G78*H78</f>
        <v>0</v>
      </c>
    </row>
    <row r="79" spans="1:30" ht="23.1" customHeight="1" x14ac:dyDescent="0.15">
      <c r="A79" s="36" t="s">
        <v>94</v>
      </c>
      <c r="B79" s="36" t="s">
        <v>49</v>
      </c>
      <c r="C79" s="36" t="s">
        <v>93</v>
      </c>
      <c r="D79" s="39" t="s">
        <v>92</v>
      </c>
      <c r="E79" s="39"/>
      <c r="F79" s="41" t="s">
        <v>91</v>
      </c>
      <c r="G79" s="42">
        <f>[1]산출집계!H100</f>
        <v>4</v>
      </c>
      <c r="H79" s="40"/>
      <c r="I79" s="40"/>
      <c r="J79" s="40"/>
      <c r="K79" s="40"/>
      <c r="L79" s="40"/>
      <c r="M79" s="40"/>
      <c r="N79" s="40"/>
      <c r="O79" s="40"/>
      <c r="P79" s="40">
        <f>SUM(I79,L79,N79)</f>
        <v>0</v>
      </c>
      <c r="Q79" s="39" t="s">
        <v>90</v>
      </c>
    </row>
    <row r="80" spans="1:30" ht="23.1" customHeight="1" x14ac:dyDescent="0.15">
      <c r="A80" s="36" t="s">
        <v>89</v>
      </c>
      <c r="B80" s="36" t="s">
        <v>49</v>
      </c>
      <c r="C80" s="36" t="s">
        <v>88</v>
      </c>
      <c r="D80" s="39" t="s">
        <v>87</v>
      </c>
      <c r="E80" s="39" t="s">
        <v>86</v>
      </c>
      <c r="F80" s="41" t="s">
        <v>47</v>
      </c>
      <c r="G80" s="42">
        <v>1</v>
      </c>
      <c r="H80" s="40"/>
      <c r="I80" s="40"/>
      <c r="J80" s="40"/>
      <c r="K80" s="40"/>
      <c r="L80" s="40"/>
      <c r="M80" s="40"/>
      <c r="N80" s="40"/>
      <c r="O80" s="40"/>
      <c r="P80" s="40">
        <f>SUM(I80,L80,N80)</f>
        <v>0</v>
      </c>
      <c r="Q80" s="39"/>
      <c r="AC80" s="37">
        <f>TRUNC(TRUNC(SUM(AC56:AC79))*[1]옵션!$B$33/100)</f>
        <v>0</v>
      </c>
      <c r="AD80" s="37">
        <f>TRUNC(SUM(I56:I79))+TRUNC(SUM(N56:N79))</f>
        <v>0</v>
      </c>
    </row>
    <row r="81" spans="1:31" ht="23.1" customHeight="1" x14ac:dyDescent="0.15">
      <c r="A81" s="36" t="s">
        <v>85</v>
      </c>
      <c r="B81" s="36" t="s">
        <v>49</v>
      </c>
      <c r="C81" s="36" t="s">
        <v>84</v>
      </c>
      <c r="D81" s="39" t="s">
        <v>80</v>
      </c>
      <c r="E81" s="39" t="s">
        <v>83</v>
      </c>
      <c r="F81" s="41" t="s">
        <v>78</v>
      </c>
      <c r="G81" s="42">
        <f>[1]노임근거!G78</f>
        <v>29.27</v>
      </c>
      <c r="H81" s="40"/>
      <c r="I81" s="40"/>
      <c r="J81" s="40"/>
      <c r="K81" s="40"/>
      <c r="L81" s="40"/>
      <c r="M81" s="40"/>
      <c r="N81" s="40"/>
      <c r="O81" s="40"/>
      <c r="P81" s="40">
        <f>SUM(I81,L81,N81)</f>
        <v>0</v>
      </c>
      <c r="Q81" s="39"/>
      <c r="AE81" s="37">
        <f>L81</f>
        <v>0</v>
      </c>
    </row>
    <row r="82" spans="1:31" ht="23.1" customHeight="1" x14ac:dyDescent="0.15">
      <c r="A82" s="36" t="s">
        <v>82</v>
      </c>
      <c r="B82" s="36" t="s">
        <v>49</v>
      </c>
      <c r="C82" s="36" t="s">
        <v>81</v>
      </c>
      <c r="D82" s="39" t="s">
        <v>80</v>
      </c>
      <c r="E82" s="39" t="s">
        <v>79</v>
      </c>
      <c r="F82" s="41" t="s">
        <v>78</v>
      </c>
      <c r="G82" s="42">
        <f>[1]노임근거!G79</f>
        <v>0.32</v>
      </c>
      <c r="H82" s="40"/>
      <c r="I82" s="40"/>
      <c r="J82" s="40"/>
      <c r="K82" s="40"/>
      <c r="L82" s="40"/>
      <c r="M82" s="40"/>
      <c r="N82" s="40"/>
      <c r="O82" s="40"/>
      <c r="P82" s="40">
        <f>SUM(I82,L82,N82)</f>
        <v>0</v>
      </c>
      <c r="Q82" s="39"/>
      <c r="AE82" s="37">
        <f>L82</f>
        <v>0</v>
      </c>
    </row>
    <row r="83" spans="1:31" ht="23.1" customHeight="1" x14ac:dyDescent="0.15">
      <c r="A83" s="36" t="s">
        <v>77</v>
      </c>
      <c r="B83" s="36" t="s">
        <v>49</v>
      </c>
      <c r="C83" s="36" t="s">
        <v>76</v>
      </c>
      <c r="D83" s="39" t="s">
        <v>75</v>
      </c>
      <c r="E83" s="39" t="s">
        <v>74</v>
      </c>
      <c r="F83" s="41" t="s">
        <v>47</v>
      </c>
      <c r="G83" s="42">
        <v>1</v>
      </c>
      <c r="H83" s="40"/>
      <c r="I83" s="40"/>
      <c r="J83" s="40"/>
      <c r="K83" s="40"/>
      <c r="L83" s="40"/>
      <c r="M83" s="40"/>
      <c r="N83" s="40"/>
      <c r="O83" s="40"/>
      <c r="P83" s="40">
        <f>SUM(I83,L83,N83)</f>
        <v>0</v>
      </c>
      <c r="Q83" s="39"/>
    </row>
    <row r="84" spans="1:31" ht="23.1" customHeight="1" x14ac:dyDescent="0.15">
      <c r="D84" s="39"/>
      <c r="E84" s="39"/>
      <c r="F84" s="41"/>
      <c r="G84" s="42"/>
      <c r="H84" s="40"/>
      <c r="I84" s="40"/>
      <c r="J84" s="40"/>
      <c r="K84" s="40"/>
      <c r="L84" s="40"/>
      <c r="M84" s="40"/>
      <c r="N84" s="40"/>
      <c r="O84" s="40"/>
      <c r="P84" s="40">
        <f>SUM(I84,L84,N84)</f>
        <v>0</v>
      </c>
      <c r="Q84" s="39"/>
      <c r="Z84" s="35" t="s">
        <v>73</v>
      </c>
      <c r="AC84" s="37">
        <f>TRUNC(AE84*[1]옵션!$B$36/100)</f>
        <v>0</v>
      </c>
      <c r="AD84" s="37">
        <f>TRUNC(SUM(L56:L82))</f>
        <v>0</v>
      </c>
      <c r="AE84" s="37">
        <f>TRUNC(SUM(AE56:AE83))</f>
        <v>0</v>
      </c>
    </row>
    <row r="85" spans="1:31" ht="23.1" customHeight="1" x14ac:dyDescent="0.15">
      <c r="D85" s="39"/>
      <c r="E85" s="39"/>
      <c r="F85" s="41"/>
      <c r="G85" s="42"/>
      <c r="H85" s="40"/>
      <c r="I85" s="40">
        <f>TRUNC(G85*H85)</f>
        <v>0</v>
      </c>
      <c r="J85" s="40"/>
      <c r="K85" s="40"/>
      <c r="L85" s="40">
        <f>TRUNC(G85*K85)</f>
        <v>0</v>
      </c>
      <c r="M85" s="40"/>
      <c r="N85" s="40">
        <f>TRUNC(G85*M85)</f>
        <v>0</v>
      </c>
      <c r="O85" s="40"/>
      <c r="P85" s="40">
        <f>SUM(I85,L85,N85)</f>
        <v>0</v>
      </c>
      <c r="Q85" s="39"/>
    </row>
    <row r="86" spans="1:31" ht="23.1" customHeight="1" x14ac:dyDescent="0.15">
      <c r="D86" s="39"/>
      <c r="E86" s="39"/>
      <c r="F86" s="41"/>
      <c r="G86" s="42"/>
      <c r="H86" s="40"/>
      <c r="I86" s="40">
        <f>TRUNC(G86*H86)</f>
        <v>0</v>
      </c>
      <c r="J86" s="40"/>
      <c r="K86" s="40"/>
      <c r="L86" s="40">
        <f>TRUNC(G86*K86)</f>
        <v>0</v>
      </c>
      <c r="M86" s="40"/>
      <c r="N86" s="40">
        <f>TRUNC(G86*M86)</f>
        <v>0</v>
      </c>
      <c r="O86" s="40"/>
      <c r="P86" s="40">
        <f>SUM(I86,L86,N86)</f>
        <v>0</v>
      </c>
      <c r="Q86" s="39"/>
    </row>
    <row r="87" spans="1:31" ht="23.1" customHeight="1" x14ac:dyDescent="0.15">
      <c r="D87" s="39"/>
      <c r="E87" s="39"/>
      <c r="F87" s="41"/>
      <c r="G87" s="42"/>
      <c r="H87" s="40"/>
      <c r="I87" s="40">
        <f>TRUNC(G87*H87)</f>
        <v>0</v>
      </c>
      <c r="J87" s="40"/>
      <c r="K87" s="40"/>
      <c r="L87" s="40">
        <f>TRUNC(G87*K87)</f>
        <v>0</v>
      </c>
      <c r="M87" s="40"/>
      <c r="N87" s="40">
        <f>TRUNC(G87*M87)</f>
        <v>0</v>
      </c>
      <c r="O87" s="40"/>
      <c r="P87" s="40">
        <f>SUM(I87,L87,N87)</f>
        <v>0</v>
      </c>
      <c r="Q87" s="39"/>
    </row>
    <row r="88" spans="1:31" ht="23.1" customHeight="1" x14ac:dyDescent="0.15">
      <c r="D88" s="39"/>
      <c r="E88" s="39"/>
      <c r="F88" s="41"/>
      <c r="G88" s="42"/>
      <c r="H88" s="40"/>
      <c r="I88" s="40">
        <f>TRUNC(G88*H88)</f>
        <v>0</v>
      </c>
      <c r="J88" s="40"/>
      <c r="K88" s="40"/>
      <c r="L88" s="40">
        <f>TRUNC(G88*K88)</f>
        <v>0</v>
      </c>
      <c r="M88" s="40"/>
      <c r="N88" s="40">
        <f>TRUNC(G88*M88)</f>
        <v>0</v>
      </c>
      <c r="O88" s="40"/>
      <c r="P88" s="40">
        <f>SUM(I88,L88,N88)</f>
        <v>0</v>
      </c>
      <c r="Q88" s="39"/>
    </row>
    <row r="89" spans="1:31" ht="23.1" customHeight="1" x14ac:dyDescent="0.15">
      <c r="D89" s="39"/>
      <c r="E89" s="39"/>
      <c r="F89" s="41"/>
      <c r="G89" s="42"/>
      <c r="H89" s="40"/>
      <c r="I89" s="40">
        <f>TRUNC(G89*H89)</f>
        <v>0</v>
      </c>
      <c r="J89" s="40"/>
      <c r="K89" s="40"/>
      <c r="L89" s="40">
        <f>TRUNC(G89*K89)</f>
        <v>0</v>
      </c>
      <c r="M89" s="40"/>
      <c r="N89" s="40">
        <f>TRUNC(G89*M89)</f>
        <v>0</v>
      </c>
      <c r="O89" s="40"/>
      <c r="P89" s="40">
        <f>SUM(I89,L89,N89)</f>
        <v>0</v>
      </c>
      <c r="Q89" s="39"/>
    </row>
    <row r="90" spans="1:31" ht="23.1" customHeight="1" x14ac:dyDescent="0.15">
      <c r="D90" s="39"/>
      <c r="E90" s="39"/>
      <c r="F90" s="41"/>
      <c r="G90" s="42"/>
      <c r="H90" s="40"/>
      <c r="I90" s="40">
        <f>TRUNC(G90*H90)</f>
        <v>0</v>
      </c>
      <c r="J90" s="40"/>
      <c r="K90" s="40"/>
      <c r="L90" s="40">
        <f>TRUNC(G90*K90)</f>
        <v>0</v>
      </c>
      <c r="M90" s="40"/>
      <c r="N90" s="40">
        <f>TRUNC(G90*M90)</f>
        <v>0</v>
      </c>
      <c r="O90" s="40"/>
      <c r="P90" s="40">
        <f>SUM(I90,L90,N90)</f>
        <v>0</v>
      </c>
      <c r="Q90" s="39"/>
    </row>
    <row r="91" spans="1:31" ht="23.1" customHeight="1" x14ac:dyDescent="0.15">
      <c r="D91" s="39"/>
      <c r="E91" s="39"/>
      <c r="F91" s="41"/>
      <c r="G91" s="42"/>
      <c r="H91" s="40"/>
      <c r="I91" s="40">
        <f>TRUNC(G91*H91)</f>
        <v>0</v>
      </c>
      <c r="J91" s="40"/>
      <c r="K91" s="40"/>
      <c r="L91" s="40">
        <f>TRUNC(G91*K91)</f>
        <v>0</v>
      </c>
      <c r="M91" s="40"/>
      <c r="N91" s="40">
        <f>TRUNC(G91*M91)</f>
        <v>0</v>
      </c>
      <c r="O91" s="40"/>
      <c r="P91" s="40">
        <f>SUM(I91,L91,N91)</f>
        <v>0</v>
      </c>
      <c r="Q91" s="39"/>
    </row>
    <row r="92" spans="1:31" ht="23.1" customHeight="1" x14ac:dyDescent="0.15">
      <c r="D92" s="39"/>
      <c r="E92" s="39"/>
      <c r="F92" s="41"/>
      <c r="G92" s="42"/>
      <c r="H92" s="40"/>
      <c r="I92" s="40">
        <f>TRUNC(G92*H92)</f>
        <v>0</v>
      </c>
      <c r="J92" s="40"/>
      <c r="K92" s="40"/>
      <c r="L92" s="40">
        <f>TRUNC(G92*K92)</f>
        <v>0</v>
      </c>
      <c r="M92" s="40"/>
      <c r="N92" s="40">
        <f>TRUNC(G92*M92)</f>
        <v>0</v>
      </c>
      <c r="O92" s="40"/>
      <c r="P92" s="40">
        <f>SUM(I92,L92,N92)</f>
        <v>0</v>
      </c>
      <c r="Q92" s="39"/>
    </row>
    <row r="93" spans="1:31" ht="23.1" customHeight="1" x14ac:dyDescent="0.15">
      <c r="D93" s="39"/>
      <c r="E93" s="39"/>
      <c r="F93" s="41"/>
      <c r="G93" s="42"/>
      <c r="H93" s="40"/>
      <c r="I93" s="40">
        <f>TRUNC(G93*H93)</f>
        <v>0</v>
      </c>
      <c r="J93" s="40"/>
      <c r="K93" s="40"/>
      <c r="L93" s="40">
        <f>TRUNC(G93*K93)</f>
        <v>0</v>
      </c>
      <c r="M93" s="40"/>
      <c r="N93" s="40">
        <f>TRUNC(G93*M93)</f>
        <v>0</v>
      </c>
      <c r="O93" s="40"/>
      <c r="P93" s="40">
        <f>SUM(I93,L93,N93)</f>
        <v>0</v>
      </c>
      <c r="Q93" s="39"/>
    </row>
    <row r="94" spans="1:31" ht="23.1" customHeight="1" x14ac:dyDescent="0.15">
      <c r="D94" s="39"/>
      <c r="E94" s="39"/>
      <c r="F94" s="41"/>
      <c r="G94" s="42"/>
      <c r="H94" s="40"/>
      <c r="I94" s="40">
        <f>TRUNC(G94*H94)</f>
        <v>0</v>
      </c>
      <c r="J94" s="40"/>
      <c r="K94" s="40"/>
      <c r="L94" s="40">
        <f>TRUNC(G94*K94)</f>
        <v>0</v>
      </c>
      <c r="M94" s="40"/>
      <c r="N94" s="40">
        <f>TRUNC(G94*M94)</f>
        <v>0</v>
      </c>
      <c r="O94" s="40"/>
      <c r="P94" s="40">
        <f>SUM(I94,L94,N94)</f>
        <v>0</v>
      </c>
      <c r="Q94" s="39"/>
    </row>
    <row r="95" spans="1:31" ht="23.1" customHeight="1" x14ac:dyDescent="0.15">
      <c r="D95" s="39"/>
      <c r="E95" s="39"/>
      <c r="F95" s="41"/>
      <c r="G95" s="42"/>
      <c r="H95" s="40"/>
      <c r="I95" s="40">
        <f>TRUNC(G95*H95)</f>
        <v>0</v>
      </c>
      <c r="J95" s="40"/>
      <c r="K95" s="40"/>
      <c r="L95" s="40">
        <f>TRUNC(G95*K95)</f>
        <v>0</v>
      </c>
      <c r="M95" s="40"/>
      <c r="N95" s="40">
        <f>TRUNC(G95*M95)</f>
        <v>0</v>
      </c>
      <c r="O95" s="40"/>
      <c r="P95" s="40">
        <f>SUM(I95,L95,N95)</f>
        <v>0</v>
      </c>
      <c r="Q95" s="39"/>
    </row>
    <row r="96" spans="1:31" ht="23.1" customHeight="1" x14ac:dyDescent="0.15">
      <c r="D96" s="39"/>
      <c r="E96" s="39"/>
      <c r="F96" s="41"/>
      <c r="G96" s="42"/>
      <c r="H96" s="40"/>
      <c r="I96" s="40">
        <f>TRUNC(G96*H96)</f>
        <v>0</v>
      </c>
      <c r="J96" s="40"/>
      <c r="K96" s="40"/>
      <c r="L96" s="40">
        <f>TRUNC(G96*K96)</f>
        <v>0</v>
      </c>
      <c r="M96" s="40"/>
      <c r="N96" s="40">
        <f>TRUNC(G96*M96)</f>
        <v>0</v>
      </c>
      <c r="O96" s="40"/>
      <c r="P96" s="40">
        <f>SUM(I96,L96,N96)</f>
        <v>0</v>
      </c>
      <c r="Q96" s="39"/>
    </row>
    <row r="97" spans="2:17" ht="23.1" customHeight="1" x14ac:dyDescent="0.15">
      <c r="D97" s="39"/>
      <c r="E97" s="39"/>
      <c r="F97" s="41"/>
      <c r="G97" s="42"/>
      <c r="H97" s="40"/>
      <c r="I97" s="40">
        <f>TRUNC(G97*H97)</f>
        <v>0</v>
      </c>
      <c r="J97" s="40"/>
      <c r="K97" s="40"/>
      <c r="L97" s="40">
        <f>TRUNC(G97*K97)</f>
        <v>0</v>
      </c>
      <c r="M97" s="40"/>
      <c r="N97" s="40">
        <f>TRUNC(G97*M97)</f>
        <v>0</v>
      </c>
      <c r="O97" s="40"/>
      <c r="P97" s="40">
        <f>SUM(I97,L97,N97)</f>
        <v>0</v>
      </c>
      <c r="Q97" s="39"/>
    </row>
    <row r="98" spans="2:17" ht="23.1" customHeight="1" x14ac:dyDescent="0.15">
      <c r="D98" s="39"/>
      <c r="E98" s="39"/>
      <c r="F98" s="41"/>
      <c r="G98" s="42"/>
      <c r="H98" s="40"/>
      <c r="I98" s="40">
        <f>TRUNC(G98*H98)</f>
        <v>0</v>
      </c>
      <c r="J98" s="40"/>
      <c r="K98" s="40"/>
      <c r="L98" s="40">
        <f>TRUNC(G98*K98)</f>
        <v>0</v>
      </c>
      <c r="M98" s="40"/>
      <c r="N98" s="40">
        <f>TRUNC(G98*M98)</f>
        <v>0</v>
      </c>
      <c r="O98" s="40"/>
      <c r="P98" s="40">
        <f>SUM(I98,L98,N98)</f>
        <v>0</v>
      </c>
      <c r="Q98" s="39"/>
    </row>
    <row r="99" spans="2:17" ht="23.1" customHeight="1" x14ac:dyDescent="0.15">
      <c r="D99" s="39"/>
      <c r="E99" s="39"/>
      <c r="F99" s="41"/>
      <c r="G99" s="42"/>
      <c r="H99" s="40"/>
      <c r="I99" s="40">
        <f>TRUNC(G99*H99)</f>
        <v>0</v>
      </c>
      <c r="J99" s="40"/>
      <c r="K99" s="40"/>
      <c r="L99" s="40">
        <f>TRUNC(G99*K99)</f>
        <v>0</v>
      </c>
      <c r="M99" s="40"/>
      <c r="N99" s="40">
        <f>TRUNC(G99*M99)</f>
        <v>0</v>
      </c>
      <c r="O99" s="40"/>
      <c r="P99" s="40">
        <f>SUM(I99,L99,N99)</f>
        <v>0</v>
      </c>
      <c r="Q99" s="39"/>
    </row>
    <row r="100" spans="2:17" ht="23.1" customHeight="1" x14ac:dyDescent="0.15">
      <c r="D100" s="39"/>
      <c r="E100" s="39"/>
      <c r="F100" s="41"/>
      <c r="G100" s="42"/>
      <c r="H100" s="40"/>
      <c r="I100" s="40">
        <f>TRUNC(G100*H100)</f>
        <v>0</v>
      </c>
      <c r="J100" s="40"/>
      <c r="K100" s="40"/>
      <c r="L100" s="40">
        <f>TRUNC(G100*K100)</f>
        <v>0</v>
      </c>
      <c r="M100" s="40"/>
      <c r="N100" s="40">
        <f>TRUNC(G100*M100)</f>
        <v>0</v>
      </c>
      <c r="O100" s="40"/>
      <c r="P100" s="40">
        <f>SUM(I100,L100,N100)</f>
        <v>0</v>
      </c>
      <c r="Q100" s="39"/>
    </row>
    <row r="101" spans="2:17" ht="23.1" customHeight="1" x14ac:dyDescent="0.15">
      <c r="D101" s="39"/>
      <c r="E101" s="39"/>
      <c r="F101" s="41"/>
      <c r="G101" s="42"/>
      <c r="H101" s="40"/>
      <c r="I101" s="40">
        <f>TRUNC(G101*H101)</f>
        <v>0</v>
      </c>
      <c r="J101" s="40"/>
      <c r="K101" s="40"/>
      <c r="L101" s="40">
        <f>TRUNC(G101*K101)</f>
        <v>0</v>
      </c>
      <c r="M101" s="40"/>
      <c r="N101" s="40">
        <f>TRUNC(G101*M101)</f>
        <v>0</v>
      </c>
      <c r="O101" s="40"/>
      <c r="P101" s="40">
        <f>SUM(I101,L101,N101)</f>
        <v>0</v>
      </c>
      <c r="Q101" s="39"/>
    </row>
    <row r="102" spans="2:17" ht="23.1" customHeight="1" x14ac:dyDescent="0.15">
      <c r="D102" s="39"/>
      <c r="E102" s="39"/>
      <c r="F102" s="41"/>
      <c r="G102" s="42"/>
      <c r="H102" s="40"/>
      <c r="I102" s="40">
        <f>TRUNC(G102*H102)</f>
        <v>0</v>
      </c>
      <c r="J102" s="40"/>
      <c r="K102" s="40"/>
      <c r="L102" s="40">
        <f>TRUNC(G102*K102)</f>
        <v>0</v>
      </c>
      <c r="M102" s="40"/>
      <c r="N102" s="40">
        <f>TRUNC(G102*M102)</f>
        <v>0</v>
      </c>
      <c r="O102" s="40"/>
      <c r="P102" s="40">
        <f>SUM(I102,L102,N102)</f>
        <v>0</v>
      </c>
      <c r="Q102" s="39"/>
    </row>
    <row r="103" spans="2:17" ht="23.1" customHeight="1" x14ac:dyDescent="0.15">
      <c r="D103" s="39"/>
      <c r="E103" s="39"/>
      <c r="F103" s="41"/>
      <c r="G103" s="42"/>
      <c r="H103" s="40"/>
      <c r="I103" s="40">
        <f>TRUNC(G103*H103)</f>
        <v>0</v>
      </c>
      <c r="J103" s="40"/>
      <c r="K103" s="40"/>
      <c r="L103" s="40">
        <f>TRUNC(G103*K103)</f>
        <v>0</v>
      </c>
      <c r="M103" s="40"/>
      <c r="N103" s="40">
        <f>TRUNC(G103*M103)</f>
        <v>0</v>
      </c>
      <c r="O103" s="40"/>
      <c r="P103" s="40">
        <f>SUM(I103,L103,N103)</f>
        <v>0</v>
      </c>
      <c r="Q103" s="39"/>
    </row>
    <row r="104" spans="2:17" ht="23.1" customHeight="1" x14ac:dyDescent="0.15">
      <c r="D104" s="39"/>
      <c r="E104" s="39"/>
      <c r="F104" s="41"/>
      <c r="G104" s="42"/>
      <c r="H104" s="40"/>
      <c r="I104" s="40">
        <f>TRUNC(G104*H104)</f>
        <v>0</v>
      </c>
      <c r="J104" s="40"/>
      <c r="K104" s="40"/>
      <c r="L104" s="40">
        <f>TRUNC(G104*K104)</f>
        <v>0</v>
      </c>
      <c r="M104" s="40"/>
      <c r="N104" s="40">
        <f>TRUNC(G104*M104)</f>
        <v>0</v>
      </c>
      <c r="O104" s="40"/>
      <c r="P104" s="40">
        <f>SUM(I104,L104,N104)</f>
        <v>0</v>
      </c>
      <c r="Q104" s="39"/>
    </row>
    <row r="105" spans="2:17" ht="23.1" customHeight="1" x14ac:dyDescent="0.15">
      <c r="D105" s="39"/>
      <c r="E105" s="39"/>
      <c r="F105" s="41"/>
      <c r="G105" s="42"/>
      <c r="H105" s="40"/>
      <c r="I105" s="40">
        <f>TRUNC(G105*H105)</f>
        <v>0</v>
      </c>
      <c r="J105" s="40"/>
      <c r="K105" s="40"/>
      <c r="L105" s="40">
        <f>TRUNC(G105*K105)</f>
        <v>0</v>
      </c>
      <c r="M105" s="40"/>
      <c r="N105" s="40">
        <f>TRUNC(G105*M105)</f>
        <v>0</v>
      </c>
      <c r="O105" s="40"/>
      <c r="P105" s="40">
        <f>SUM(I105,L105,N105)</f>
        <v>0</v>
      </c>
      <c r="Q105" s="39"/>
    </row>
    <row r="106" spans="2:17" ht="23.1" customHeight="1" x14ac:dyDescent="0.15">
      <c r="D106" s="39"/>
      <c r="E106" s="39"/>
      <c r="F106" s="41"/>
      <c r="G106" s="42"/>
      <c r="H106" s="40"/>
      <c r="I106" s="40">
        <f>TRUNC(G106*H106)</f>
        <v>0</v>
      </c>
      <c r="J106" s="40"/>
      <c r="K106" s="40"/>
      <c r="L106" s="40">
        <f>TRUNC(G106*K106)</f>
        <v>0</v>
      </c>
      <c r="M106" s="40"/>
      <c r="N106" s="40">
        <f>TRUNC(G106*M106)</f>
        <v>0</v>
      </c>
      <c r="O106" s="40"/>
      <c r="P106" s="40">
        <f>SUM(I106,L106,N106)</f>
        <v>0</v>
      </c>
      <c r="Q106" s="39"/>
    </row>
    <row r="107" spans="2:17" ht="23.1" customHeight="1" x14ac:dyDescent="0.15">
      <c r="B107" s="36" t="s">
        <v>72</v>
      </c>
      <c r="D107" s="39" t="s">
        <v>44</v>
      </c>
      <c r="E107" s="39"/>
      <c r="F107" s="41"/>
      <c r="G107" s="42"/>
      <c r="H107" s="40"/>
      <c r="I107" s="40">
        <f>TRUNC(SUM(I56:I106))</f>
        <v>0</v>
      </c>
      <c r="J107" s="40"/>
      <c r="K107" s="40"/>
      <c r="L107" s="40">
        <f>TRUNC(SUM(L56:L106))</f>
        <v>0</v>
      </c>
      <c r="M107" s="40"/>
      <c r="N107" s="40">
        <f>TRUNC(SUM(N56:N106))</f>
        <v>0</v>
      </c>
      <c r="O107" s="40"/>
      <c r="P107" s="40">
        <f>TRUNC(SUM(P56:P106))</f>
        <v>0</v>
      </c>
      <c r="Q107" s="39"/>
    </row>
  </sheetData>
  <mergeCells count="16">
    <mergeCell ref="G2:G3"/>
    <mergeCell ref="H2:I2"/>
    <mergeCell ref="J2:L2"/>
    <mergeCell ref="M2:N2"/>
    <mergeCell ref="P2:P3"/>
    <mergeCell ref="Q2:Q3"/>
    <mergeCell ref="D1:Q1"/>
    <mergeCell ref="D4:Q4"/>
    <mergeCell ref="D56:Q56"/>
    <mergeCell ref="W1:Y1"/>
    <mergeCell ref="A2:A3"/>
    <mergeCell ref="B2:B3"/>
    <mergeCell ref="C2:C3"/>
    <mergeCell ref="D2:D3"/>
    <mergeCell ref="E2:E3"/>
    <mergeCell ref="F2:F3"/>
  </mergeCells>
  <phoneticPr fontId="3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원가</vt:lpstr>
      <vt:lpstr>총괄표</vt:lpstr>
      <vt:lpstr>내역서</vt:lpstr>
      <vt:lpstr>내역서!Print_Area</vt:lpstr>
      <vt:lpstr>원가!Print_Area</vt:lpstr>
      <vt:lpstr>총괄표!Print_Area</vt:lpstr>
      <vt:lpstr>내역서!Print_Titles</vt:lpstr>
      <vt:lpstr>총괄표!Print_Titles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2026-08-14T03:49:00Z</dcterms:created>
  <dcterms:modified xsi:type="dcterms:W3CDTF">2026-08-14T03:50:56Z</dcterms:modified>
</cp:coreProperties>
</file>