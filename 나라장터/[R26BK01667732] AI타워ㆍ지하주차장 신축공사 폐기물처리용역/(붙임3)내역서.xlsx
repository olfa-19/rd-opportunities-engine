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업무\★구매팀(2021.02.~)사용\[★]시설용역\2026학년도 시설용역\20260728 [입찰]AI타워ㆍ지하주차장 신축공사 폐기물처리용역\2.입찰\1. 공고\"/>
    </mc:Choice>
  </mc:AlternateContent>
  <xr:revisionPtr revIDLastSave="0" documentId="13_ncr:1_{1A0A5C92-8D51-41F9-818D-C7F86B07B5F0}" xr6:coauthVersionLast="36" xr6:coauthVersionMax="47" xr10:uidLastSave="{00000000-0000-0000-0000-000000000000}"/>
  <bookViews>
    <workbookView xWindow="0" yWindow="0" windowWidth="19200" windowHeight="7820" tabRatio="883" xr2:uid="{00000000-000D-0000-FFFF-FFFF00000000}"/>
  </bookViews>
  <sheets>
    <sheet name="표지" sheetId="10" r:id="rId1"/>
    <sheet name="원가" sheetId="12" r:id="rId2"/>
    <sheet name="공종별총괄표" sheetId="1" r:id="rId3"/>
    <sheet name="건축_공종별내역서_AI타워" sheetId="34" r:id="rId4"/>
    <sheet name="건축_공종별내역서_신규주차장" sheetId="27" r:id="rId5"/>
  </sheets>
  <definedNames>
    <definedName name="_xlnm.Print_Area" localSheetId="3">건축_공종별내역서_AI타워!$A$1:$M$45</definedName>
    <definedName name="_xlnm.Print_Area" localSheetId="4">건축_공종별내역서_신규주차장!$A$1:$M$45</definedName>
    <definedName name="_xlnm.Print_Area" localSheetId="2">공종별총괄표!$A$1:$T$24</definedName>
    <definedName name="_xlnm.Print_Area" localSheetId="1">원가!$A$1:$J$50</definedName>
    <definedName name="_xlnm.Print_Area" localSheetId="0">표지!$A$1:$AN$27</definedName>
    <definedName name="_xlnm.Print_Titles" localSheetId="3">건축_공종별내역서_AI타워!$1:$3</definedName>
    <definedName name="_xlnm.Print_Titles" localSheetId="4">건축_공종별내역서_신규주차장!$1:$3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X12" i="34" l="1"/>
  <c r="AY26" i="27"/>
  <c r="AW26" i="27"/>
  <c r="AW9" i="27"/>
  <c r="AW26" i="34"/>
  <c r="AW10" i="34"/>
  <c r="K29" i="27" l="1"/>
  <c r="J29" i="27"/>
  <c r="L29" i="27" s="1"/>
  <c r="H29" i="27"/>
  <c r="F29" i="27"/>
  <c r="K28" i="27"/>
  <c r="J28" i="27"/>
  <c r="L28" i="27" s="1"/>
  <c r="H28" i="27"/>
  <c r="F28" i="27"/>
  <c r="K27" i="27"/>
  <c r="J27" i="27"/>
  <c r="H27" i="27"/>
  <c r="F27" i="27"/>
  <c r="L27" i="27" s="1"/>
  <c r="L26" i="27"/>
  <c r="K26" i="27"/>
  <c r="J26" i="27"/>
  <c r="J45" i="27" s="1"/>
  <c r="I12" i="1" s="1"/>
  <c r="H26" i="27"/>
  <c r="H45" i="27" s="1"/>
  <c r="F26" i="27"/>
  <c r="F45" i="27" s="1"/>
  <c r="E12" i="1" s="1"/>
  <c r="K29" i="34"/>
  <c r="J29" i="34"/>
  <c r="H29" i="34"/>
  <c r="F29" i="34"/>
  <c r="L29" i="34" s="1"/>
  <c r="K28" i="34"/>
  <c r="J28" i="34"/>
  <c r="H28" i="34"/>
  <c r="F28" i="34"/>
  <c r="K27" i="34"/>
  <c r="J27" i="34"/>
  <c r="L27" i="34" s="1"/>
  <c r="H27" i="34"/>
  <c r="F27" i="34"/>
  <c r="K26" i="34"/>
  <c r="J26" i="34"/>
  <c r="H26" i="34"/>
  <c r="F26" i="34"/>
  <c r="L26" i="34" s="1"/>
  <c r="D11" i="34"/>
  <c r="J45" i="34"/>
  <c r="I7" i="1" s="1"/>
  <c r="L28" i="34" l="1"/>
  <c r="L45" i="27"/>
  <c r="F45" i="34"/>
  <c r="E7" i="1" s="1"/>
  <c r="F7" i="1" s="1"/>
  <c r="H45" i="34"/>
  <c r="L45" i="34"/>
  <c r="J12" i="34" l="1"/>
  <c r="J11" i="34"/>
  <c r="J10" i="34"/>
  <c r="J9" i="34"/>
  <c r="J8" i="34"/>
  <c r="J7" i="34"/>
  <c r="J6" i="34"/>
  <c r="J5" i="34"/>
  <c r="H12" i="34"/>
  <c r="H11" i="34"/>
  <c r="H10" i="34"/>
  <c r="H9" i="34"/>
  <c r="F9" i="34"/>
  <c r="H8" i="34"/>
  <c r="H7" i="34"/>
  <c r="H6" i="34"/>
  <c r="H5" i="34"/>
  <c r="F5" i="34"/>
  <c r="H24" i="34" l="1"/>
  <c r="K11" i="34"/>
  <c r="K7" i="34"/>
  <c r="F7" i="34"/>
  <c r="L7" i="34" s="1"/>
  <c r="F11" i="34"/>
  <c r="L11" i="34" s="1"/>
  <c r="K8" i="34"/>
  <c r="K12" i="34"/>
  <c r="J24" i="34"/>
  <c r="L5" i="34"/>
  <c r="L9" i="34"/>
  <c r="K6" i="34"/>
  <c r="K10" i="34"/>
  <c r="K5" i="34"/>
  <c r="K9" i="34"/>
  <c r="F6" i="34"/>
  <c r="L6" i="34" s="1"/>
  <c r="F8" i="34"/>
  <c r="L8" i="34" s="1"/>
  <c r="F10" i="34"/>
  <c r="L10" i="34" s="1"/>
  <c r="F12" i="34"/>
  <c r="L12" i="34" s="1"/>
  <c r="F24" i="34" l="1"/>
  <c r="L24" i="34"/>
  <c r="I6" i="1" s="1"/>
  <c r="J5" i="27" l="1"/>
  <c r="J6" i="27"/>
  <c r="J7" i="27"/>
  <c r="J8" i="27"/>
  <c r="J9" i="27"/>
  <c r="J10" i="27"/>
  <c r="F5" i="27"/>
  <c r="H5" i="27"/>
  <c r="H6" i="27"/>
  <c r="F7" i="27"/>
  <c r="H7" i="27"/>
  <c r="H8" i="27"/>
  <c r="F9" i="27"/>
  <c r="H9" i="27"/>
  <c r="H10" i="27"/>
  <c r="K6" i="27" l="1"/>
  <c r="H24" i="27"/>
  <c r="J24" i="27"/>
  <c r="L9" i="27"/>
  <c r="K8" i="27"/>
  <c r="L7" i="27"/>
  <c r="K10" i="27"/>
  <c r="L5" i="27"/>
  <c r="F10" i="27"/>
  <c r="L10" i="27" s="1"/>
  <c r="F8" i="27"/>
  <c r="L8" i="27" s="1"/>
  <c r="F6" i="27"/>
  <c r="L6" i="27" s="1"/>
  <c r="K9" i="27"/>
  <c r="K7" i="27"/>
  <c r="K5" i="27"/>
  <c r="L24" i="27" l="1"/>
  <c r="F24" i="27"/>
  <c r="I11" i="1" l="1"/>
  <c r="K12" i="1" l="1"/>
  <c r="M38" i="12"/>
  <c r="H12" i="1"/>
  <c r="F12" i="1"/>
  <c r="H11" i="1"/>
  <c r="F11" i="1"/>
  <c r="K7" i="1"/>
  <c r="J7" i="1"/>
  <c r="H7" i="1"/>
  <c r="E10" i="1" l="1"/>
  <c r="L7" i="1"/>
  <c r="J12" i="1"/>
  <c r="L12" i="1" s="1"/>
  <c r="K11" i="1" l="1"/>
  <c r="J11" i="1"/>
  <c r="I10" i="1" s="1"/>
  <c r="H6" i="1"/>
  <c r="G5" i="1" s="1"/>
  <c r="L11" i="1" l="1"/>
  <c r="J6" i="1" l="1"/>
  <c r="I5" i="1" s="1"/>
  <c r="F6" i="1" l="1"/>
  <c r="E5" i="1" s="1"/>
  <c r="K6" i="1"/>
  <c r="L6" i="1" l="1"/>
  <c r="F5" i="1" l="1"/>
  <c r="F10" i="1" l="1"/>
  <c r="F24" i="1" s="1"/>
  <c r="H5" i="1"/>
  <c r="H24" i="1"/>
  <c r="G10" i="1" s="1"/>
  <c r="H10" i="1" l="1"/>
  <c r="J5" i="1"/>
  <c r="L5" i="1" s="1"/>
  <c r="K5" i="1"/>
  <c r="J10" i="1" l="1"/>
  <c r="L10" i="1" s="1"/>
  <c r="L24" i="1" s="1"/>
  <c r="K10" i="1"/>
  <c r="F37" i="12" l="1"/>
  <c r="F39" i="12" s="1"/>
  <c r="F41" i="12" s="1"/>
  <c r="J24" i="1"/>
  <c r="F50" i="12" l="1"/>
  <c r="F54" i="12" s="1"/>
  <c r="F55" i="12" s="1"/>
</calcChain>
</file>

<file path=xl/sharedStrings.xml><?xml version="1.0" encoding="utf-8"?>
<sst xmlns="http://schemas.openxmlformats.org/spreadsheetml/2006/main" count="740" uniqueCount="215">
  <si>
    <t>품      명</t>
  </si>
  <si>
    <t>규      격</t>
  </si>
  <si>
    <t>단위</t>
  </si>
  <si>
    <t>수량</t>
  </si>
  <si>
    <t>재  료  비</t>
  </si>
  <si>
    <t>단  가</t>
  </si>
  <si>
    <t>금  액</t>
  </si>
  <si>
    <t>노  무  비</t>
  </si>
  <si>
    <t>경      비</t>
  </si>
  <si>
    <t>합      계</t>
  </si>
  <si>
    <t>비  고</t>
  </si>
  <si>
    <t>공종코드</t>
  </si>
  <si>
    <t>변수</t>
  </si>
  <si>
    <t>상위공종</t>
  </si>
  <si>
    <t>공종구분</t>
  </si>
  <si>
    <t>공종레벨</t>
  </si>
  <si>
    <t>공종소계</t>
  </si>
  <si>
    <t>원가계산서 연결금액</t>
  </si>
  <si>
    <t>품목코드</t>
  </si>
  <si>
    <t>설정</t>
  </si>
  <si>
    <t>일위</t>
  </si>
  <si>
    <t>단산</t>
  </si>
  <si>
    <t>자재</t>
  </si>
  <si>
    <t>손료적용</t>
  </si>
  <si>
    <t>손료저장</t>
  </si>
  <si>
    <t>적용율</t>
  </si>
  <si>
    <t>JUK1</t>
  </si>
  <si>
    <t>JUK2</t>
  </si>
  <si>
    <t>JUK3</t>
  </si>
  <si>
    <t>JUK4</t>
  </si>
  <si>
    <t>JUK5</t>
  </si>
  <si>
    <t>JUK6</t>
  </si>
  <si>
    <t>JUK7</t>
  </si>
  <si>
    <t>JUK8</t>
  </si>
  <si>
    <t>JUK9</t>
  </si>
  <si>
    <t>JUK10</t>
  </si>
  <si>
    <t>JUK11</t>
  </si>
  <si>
    <t>JUK12</t>
  </si>
  <si>
    <t>JUK13</t>
  </si>
  <si>
    <t>JUK14</t>
  </si>
  <si>
    <t>JUK15</t>
  </si>
  <si>
    <t>JUK16</t>
  </si>
  <si>
    <t>JUK17</t>
  </si>
  <si>
    <t>JUK18</t>
  </si>
  <si>
    <t>JUK19</t>
  </si>
  <si>
    <t>JUK20</t>
  </si>
  <si>
    <t>자재구분</t>
  </si>
  <si>
    <t>공종+자재</t>
  </si>
  <si>
    <t>고유번호</t>
  </si>
  <si>
    <t/>
  </si>
  <si>
    <t>01</t>
  </si>
  <si>
    <t>0101</t>
  </si>
  <si>
    <t>T</t>
  </si>
  <si>
    <t>F</t>
  </si>
  <si>
    <t>[ 합           계 ]</t>
  </si>
  <si>
    <t>TOTAL</t>
  </si>
  <si>
    <t>TON</t>
  </si>
  <si>
    <t>010120  건설폐기물처리비</t>
  </si>
  <si>
    <t>010120</t>
  </si>
  <si>
    <t>폐콘크리트</t>
  </si>
  <si>
    <t>이물질이 없는 순수한 폐콘크리트</t>
  </si>
  <si>
    <t>폐목재류</t>
  </si>
  <si>
    <t>혼합건설폐기물</t>
  </si>
  <si>
    <t>그 밖의 건설폐기물에 가연성 5% 이하 혼합</t>
  </si>
  <si>
    <t>건설폐재류 운반비</t>
  </si>
  <si>
    <t>혼합건설폐기물 운반비</t>
  </si>
  <si>
    <t>폐목재류 운반비</t>
  </si>
  <si>
    <t>25톤 암롤트럭, 30km</t>
  </si>
  <si>
    <t>공 종 별 총 괄 집 계 표</t>
    <phoneticPr fontId="1" type="noConversion"/>
  </si>
  <si>
    <t>01 건축공사</t>
    <phoneticPr fontId="1" type="noConversion"/>
  </si>
  <si>
    <t>02 토목공사</t>
    <phoneticPr fontId="1" type="noConversion"/>
  </si>
  <si>
    <t>총 합계금액</t>
    <phoneticPr fontId="1" type="noConversion"/>
  </si>
  <si>
    <t xml:space="preserve"> 내  역  서</t>
    <phoneticPr fontId="14" type="noConversion"/>
  </si>
  <si>
    <t xml:space="preserve"> </t>
    <phoneticPr fontId="14" type="noConversion"/>
  </si>
  <si>
    <t>폐기물처리비</t>
    <phoneticPr fontId="1" type="noConversion"/>
  </si>
  <si>
    <t>공 사 원 가 계 산 서</t>
    <phoneticPr fontId="1" type="noConversion"/>
  </si>
  <si>
    <t>비    목</t>
    <phoneticPr fontId="1" type="noConversion"/>
  </si>
  <si>
    <t>구성비</t>
    <phoneticPr fontId="1" type="noConversion"/>
  </si>
  <si>
    <t>요율</t>
    <phoneticPr fontId="1" type="noConversion"/>
  </si>
  <si>
    <t>비고</t>
    <phoneticPr fontId="1" type="noConversion"/>
  </si>
  <si>
    <t>순   공   사   비</t>
    <phoneticPr fontId="1" type="noConversion"/>
  </si>
  <si>
    <t>A1</t>
    <phoneticPr fontId="1" type="noConversion"/>
  </si>
  <si>
    <t>순  공  사  원  가</t>
    <phoneticPr fontId="1" type="noConversion"/>
  </si>
  <si>
    <t>재료비</t>
    <phoneticPr fontId="1" type="noConversion"/>
  </si>
  <si>
    <t>직접재료비</t>
    <phoneticPr fontId="1" type="noConversion"/>
  </si>
  <si>
    <t>[  소     계  ]</t>
    <phoneticPr fontId="1" type="noConversion"/>
  </si>
  <si>
    <t>B2</t>
    <phoneticPr fontId="1" type="noConversion"/>
  </si>
  <si>
    <t>노무비</t>
    <phoneticPr fontId="1" type="noConversion"/>
  </si>
  <si>
    <t>직접노무비</t>
    <phoneticPr fontId="1" type="noConversion"/>
  </si>
  <si>
    <t>간접노무비</t>
    <phoneticPr fontId="1" type="noConversion"/>
  </si>
  <si>
    <t>직접노무비 * 요율</t>
    <phoneticPr fontId="1" type="noConversion"/>
  </si>
  <si>
    <t>경 비</t>
    <phoneticPr fontId="1" type="noConversion"/>
  </si>
  <si>
    <t>산출경비</t>
    <phoneticPr fontId="1" type="noConversion"/>
  </si>
  <si>
    <t>C2</t>
    <phoneticPr fontId="1" type="noConversion"/>
  </si>
  <si>
    <t>산업재해보상보험료</t>
    <phoneticPr fontId="1" type="noConversion"/>
  </si>
  <si>
    <t>노무비 * 요율</t>
    <phoneticPr fontId="1" type="noConversion"/>
  </si>
  <si>
    <t>C7</t>
    <phoneticPr fontId="1" type="noConversion"/>
  </si>
  <si>
    <t>고용보험료</t>
    <phoneticPr fontId="1" type="noConversion"/>
  </si>
  <si>
    <t>C8</t>
    <phoneticPr fontId="1" type="noConversion"/>
  </si>
  <si>
    <t>국민건강보험료</t>
    <phoneticPr fontId="1" type="noConversion"/>
  </si>
  <si>
    <t>C9</t>
    <phoneticPr fontId="1" type="noConversion"/>
  </si>
  <si>
    <t>노인장기요양보험료</t>
    <phoneticPr fontId="1" type="noConversion"/>
  </si>
  <si>
    <t>국민건강보험료 * 요율</t>
    <phoneticPr fontId="1" type="noConversion"/>
  </si>
  <si>
    <t>CA</t>
    <phoneticPr fontId="1" type="noConversion"/>
  </si>
  <si>
    <t>국민연금보험료</t>
    <phoneticPr fontId="1" type="noConversion"/>
  </si>
  <si>
    <t>C6</t>
    <phoneticPr fontId="1" type="noConversion"/>
  </si>
  <si>
    <t>퇴직공제부금비</t>
    <phoneticPr fontId="1" type="noConversion"/>
  </si>
  <si>
    <t>C3</t>
    <phoneticPr fontId="1" type="noConversion"/>
  </si>
  <si>
    <t>산업안전보건관리비</t>
    <phoneticPr fontId="1" type="noConversion"/>
  </si>
  <si>
    <t>산출방법 (a),(b)중 작은값</t>
    <phoneticPr fontId="1" type="noConversion"/>
  </si>
  <si>
    <t>ⓐ 산정방법</t>
    <phoneticPr fontId="1" type="noConversion"/>
  </si>
  <si>
    <t>(a) (재료비+직접노무비+(지급자재납품도/1.1))*요율</t>
    <phoneticPr fontId="1" type="noConversion"/>
  </si>
  <si>
    <t>ⓑ 산정방법</t>
    <phoneticPr fontId="1" type="noConversion"/>
  </si>
  <si>
    <t>(b) ((재료비+직접노무비)*요율)*1.2</t>
    <phoneticPr fontId="1" type="noConversion"/>
  </si>
  <si>
    <t>환경보전비</t>
    <phoneticPr fontId="1" type="noConversion"/>
  </si>
  <si>
    <t>(재료비+직접노무비+산출경비) * 요율</t>
    <phoneticPr fontId="1" type="noConversion"/>
  </si>
  <si>
    <t>공사이행보증수수료</t>
    <phoneticPr fontId="1" type="noConversion"/>
  </si>
  <si>
    <t>[4백만원+(직공비-500억)*0.004%]*공기(년)</t>
    <phoneticPr fontId="1" type="noConversion"/>
  </si>
  <si>
    <t>CB</t>
    <phoneticPr fontId="1" type="noConversion"/>
  </si>
  <si>
    <t>하도급대금지급보증서발급수수료</t>
    <phoneticPr fontId="1" type="noConversion"/>
  </si>
  <si>
    <t>건설기계대여대금 지급보증서발급수수료</t>
    <phoneticPr fontId="1" type="noConversion"/>
  </si>
  <si>
    <t>C4</t>
    <phoneticPr fontId="1" type="noConversion"/>
  </si>
  <si>
    <t>기타경비</t>
    <phoneticPr fontId="1" type="noConversion"/>
  </si>
  <si>
    <t>(재료비+노무비) * 요율</t>
    <phoneticPr fontId="1" type="noConversion"/>
  </si>
  <si>
    <t>S1</t>
    <phoneticPr fontId="1" type="noConversion"/>
  </si>
  <si>
    <t>재료비+노무비+경비</t>
    <phoneticPr fontId="1" type="noConversion"/>
  </si>
  <si>
    <t>D1</t>
    <phoneticPr fontId="1" type="noConversion"/>
  </si>
  <si>
    <t>일  반  관  리  비</t>
  </si>
  <si>
    <t>[재료비+노무비+경비] * 요율</t>
    <phoneticPr fontId="1" type="noConversion"/>
  </si>
  <si>
    <t>단수정리</t>
    <phoneticPr fontId="1" type="noConversion"/>
  </si>
  <si>
    <t>D2</t>
    <phoneticPr fontId="1" type="noConversion"/>
  </si>
  <si>
    <t>이              윤</t>
  </si>
  <si>
    <t>[노무비+경비+일반관리비] * 요율</t>
    <phoneticPr fontId="1" type="noConversion"/>
  </si>
  <si>
    <t>E3</t>
  </si>
  <si>
    <t>제경비적용 제외 공종 (소계)</t>
    <phoneticPr fontId="1" type="noConversion"/>
  </si>
  <si>
    <t>제비율적용제외공종</t>
    <phoneticPr fontId="32" type="noConversion"/>
  </si>
  <si>
    <t>작업부산물</t>
    <phoneticPr fontId="1" type="noConversion"/>
  </si>
  <si>
    <t>S4</t>
    <phoneticPr fontId="1" type="noConversion"/>
  </si>
  <si>
    <t xml:space="preserve">총       원       가 </t>
    <phoneticPr fontId="1" type="noConversion"/>
  </si>
  <si>
    <t>T2</t>
    <phoneticPr fontId="1" type="noConversion"/>
  </si>
  <si>
    <t>매 입 부 가 가 치 세</t>
    <phoneticPr fontId="1" type="noConversion"/>
  </si>
  <si>
    <t>[직접재료비*매입세비율] * 요율</t>
    <phoneticPr fontId="1" type="noConversion"/>
  </si>
  <si>
    <t>매입세율 비율</t>
    <phoneticPr fontId="1" type="noConversion"/>
  </si>
  <si>
    <t xml:space="preserve">부  가  가  치  세 </t>
    <phoneticPr fontId="1" type="noConversion"/>
  </si>
  <si>
    <t>[직접재료비*과세비율] * 요율</t>
    <phoneticPr fontId="1" type="noConversion"/>
  </si>
  <si>
    <t>S7</t>
    <phoneticPr fontId="1" type="noConversion"/>
  </si>
  <si>
    <t>도  급  공  사  비</t>
    <phoneticPr fontId="32" type="noConversion"/>
  </si>
  <si>
    <t>U1</t>
    <phoneticPr fontId="1" type="noConversion"/>
  </si>
  <si>
    <t>건 설 폐 기 물 처 리 비</t>
    <phoneticPr fontId="1" type="noConversion"/>
  </si>
  <si>
    <t>품  질  시  험  비</t>
    <phoneticPr fontId="1" type="noConversion"/>
  </si>
  <si>
    <t>안  전  괸  리  비</t>
    <phoneticPr fontId="1" type="noConversion"/>
  </si>
  <si>
    <t>한  전  불  입  금</t>
    <phoneticPr fontId="1" type="noConversion"/>
  </si>
  <si>
    <t>소방사업자 손해배상보험</t>
    <phoneticPr fontId="1" type="noConversion"/>
  </si>
  <si>
    <t>U3</t>
    <phoneticPr fontId="1" type="noConversion"/>
  </si>
  <si>
    <t>지  급  자  재  비</t>
    <phoneticPr fontId="1" type="noConversion"/>
  </si>
  <si>
    <t>U4</t>
    <phoneticPr fontId="1" type="noConversion"/>
  </si>
  <si>
    <t>지급자재(관급자관급-설치도)</t>
    <phoneticPr fontId="1" type="noConversion"/>
  </si>
  <si>
    <t>U5</t>
    <phoneticPr fontId="1" type="noConversion"/>
  </si>
  <si>
    <t>지급자재(도급자관급-납품도)</t>
    <phoneticPr fontId="1" type="noConversion"/>
  </si>
  <si>
    <t>S9</t>
    <phoneticPr fontId="1" type="noConversion"/>
  </si>
  <si>
    <t>총   공   사   비</t>
  </si>
  <si>
    <t>녹색건축 본인증</t>
    <phoneticPr fontId="1" type="noConversion"/>
  </si>
  <si>
    <t>신규주차장</t>
    <phoneticPr fontId="1" type="noConversion"/>
  </si>
  <si>
    <t>0101205F330455B197E4F9605758BB6E8A001</t>
  </si>
  <si>
    <t>5F330455B197E4F9605758BB6E8A001</t>
  </si>
  <si>
    <t>0101205E6984D4F19C0C00C837A61FE2823A56B3DB11</t>
  </si>
  <si>
    <t>5E6984D4F19C0C00C837A61FE2823A56B3DB11</t>
  </si>
  <si>
    <t>0101205E6984D4F19C0C00C837A61FE2823A56B3DB1A</t>
  </si>
  <si>
    <t>5E6984D4F19C0C00C837A61FE2823A56B3DB1A</t>
  </si>
  <si>
    <t>24톤 암롤트럭, 40km</t>
  </si>
  <si>
    <t>0101205E6984D4F19C0C00C837A61FE2823A56B3DEED</t>
  </si>
  <si>
    <t>5E6984D4F19C0C00C837A61FE2823A56B3DEED</t>
  </si>
  <si>
    <t>24톤 덤프트럭, 40km</t>
  </si>
  <si>
    <t>0101205E6984D4F19C0C00C837A61FE283C394B6FBAF</t>
  </si>
  <si>
    <t>5E6984D4F19C0C00C837A61FE283C394B6FBAF</t>
  </si>
  <si>
    <t>0101205E6984D4F19C0C00C837A61FE283C394B050D7</t>
  </si>
  <si>
    <t>5E6984D4F19C0C00C837A61FE283C394B050D7</t>
  </si>
  <si>
    <t>0101205E6984D4F19C0C00C837A61FE283C394B050DE</t>
  </si>
  <si>
    <t>5E6984D4F19C0C00C837A61FE283C394B050DE</t>
  </si>
  <si>
    <t>법정분담금 - 석면분담금</t>
    <phoneticPr fontId="1" type="noConversion"/>
  </si>
  <si>
    <t>법정분담금 - 임금채권부담금</t>
    <phoneticPr fontId="1" type="noConversion"/>
  </si>
  <si>
    <t>[  건 설 폐 기 물 처 리 비  ]</t>
    <phoneticPr fontId="1" type="noConversion"/>
  </si>
  <si>
    <t>AI 타워</t>
    <phoneticPr fontId="1" type="noConversion"/>
  </si>
  <si>
    <t>5C1F232F4C2102E633EEEE1ED72DA8F53B7FBB</t>
  </si>
  <si>
    <t>0101205C1F232F4C2102E633EEEE1ED72DA8F53B7FBB</t>
  </si>
  <si>
    <t>건설폐재류</t>
  </si>
  <si>
    <t>가연성이 제거된 재활용이 가능한 혼합물</t>
  </si>
  <si>
    <t>5C1F232F4C2102E633EEEE1ED72DA8F53B7FB9</t>
  </si>
  <si>
    <t>0101205C1F232F4C2102E633EEEE1ED72DA8F53B7FB9</t>
  </si>
  <si>
    <t>5C1F232F4C2102E633EEEE1ED72DA8F53B7FB2</t>
  </si>
  <si>
    <t>0101205C1F232F4C2102E633EEEE1ED72DA8F53B7FB2</t>
  </si>
  <si>
    <t>건설폐재류에 가연성 5% 이하 혼합</t>
  </si>
  <si>
    <t>5C1F232F4C2102E633EEEE1ED72DA8F53B780B</t>
  </si>
  <si>
    <t>0101205C1F232F4C2102E633EEEE1ED72DA8F53B780B</t>
  </si>
  <si>
    <t>5C1F232F4C2102E633EEEE1ED72DA8F53D2E3D</t>
  </si>
  <si>
    <t>0101205C1F232F4C2102E633EEEE1ED72DA8F53D2E3D</t>
  </si>
  <si>
    <t>24톤 덤프트럭, 30km</t>
  </si>
  <si>
    <t>5C1F232F4C2102E633EEEE1ED72C8399CDAEC2</t>
  </si>
  <si>
    <t>0101205C1F232F4C2102E633EEEE1ED72C8399CDAEC2</t>
  </si>
  <si>
    <t>24톤 암롤트럭, 30km</t>
  </si>
  <si>
    <t>5C1F232F4C2102E633EEEE1ED72C8399CDAB0E</t>
  </si>
  <si>
    <t>0101205C1F232F4C2102E633EEEE1ED72C8399CDAB0E</t>
  </si>
  <si>
    <t>5C1F232F4C2102E633EEEE1ED72C8399CDAB07</t>
  </si>
  <si>
    <t>0101205C1F232F4C2102E633EEEE1ED72C8399CDAB07</t>
  </si>
  <si>
    <t>5D4B238C447B028659F5B89A79AB001</t>
  </si>
  <si>
    <t>0101205D4B238C447B028659F5B89A79AB001</t>
  </si>
  <si>
    <t>010121 토목폐기물처리비</t>
    <phoneticPr fontId="1" type="noConversion"/>
  </si>
  <si>
    <t>폐아스콘</t>
    <phoneticPr fontId="1" type="noConversion"/>
  </si>
  <si>
    <t>폐기물운반비(폐콘크리트,폐아스콘)</t>
    <phoneticPr fontId="1" type="noConversion"/>
  </si>
  <si>
    <t>고재처리</t>
    <phoneticPr fontId="1" type="noConversion"/>
  </si>
  <si>
    <t>AI타워ㆍ지하주차장 신축공사 폐기물처리용역</t>
    <phoneticPr fontId="1" type="noConversion"/>
  </si>
  <si>
    <t xml:space="preserve"> AI타워ㆍ지하주차장 신축공사 폐기물처리용역</t>
    <phoneticPr fontId="1" type="noConversion"/>
  </si>
  <si>
    <t>[ AI타워ㆍ지하주차장 신축공사 폐기물처리용역_AI타워 ]</t>
    <phoneticPr fontId="1" type="noConversion"/>
  </si>
  <si>
    <t>[ AI타워ㆍ지하주차장 신축공사 폐기물처리용역_신규주차장 ]</t>
    <phoneticPr fontId="1" type="noConversion"/>
  </si>
  <si>
    <t>공 사 명 : AI타워ㆍ지하주차장 신축공사 폐기물처리용역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</si>
</sst>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176" formatCode="#,###"/>
    <numFmt numFmtId="177" formatCode="&quot;[&quot;@&quot;]&quot;"/>
    <numFmt numFmtId="178" formatCode="&quot;₩&quot;\ #,###"/>
    <numFmt numFmtId="179" formatCode="0.0000%"/>
    <numFmt numFmtId="180" formatCode="_-* #,##0.00_-;\-* #,##0.00_-;_-* &quot;-&quot;_-;_-@_-"/>
    <numFmt numFmtId="181" formatCode="0.000%"/>
    <numFmt numFmtId="182" formatCode="#,##0.00_ "/>
    <numFmt numFmtId="183" formatCode="#,##0_ "/>
    <numFmt numFmtId="184" formatCode="_-* #,##0.0000000_-;\-* #,##0.0000000_-;_-* &quot;-&quot;_-;_-@_-"/>
  </numFmts>
  <fonts count="4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theme="1"/>
      <name val="굴림체"/>
      <family val="3"/>
      <charset val="129"/>
    </font>
    <font>
      <sz val="11"/>
      <color theme="1"/>
      <name val="굴림체"/>
      <family val="3"/>
      <charset val="129"/>
    </font>
    <font>
      <sz val="11"/>
      <color rgb="FFED0000"/>
      <name val="맑은 고딕"/>
      <family val="2"/>
      <charset val="129"/>
      <scheme val="minor"/>
    </font>
    <font>
      <sz val="11"/>
      <color rgb="FFED0000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14"/>
      <name val="굴림체"/>
      <family val="3"/>
      <charset val="129"/>
    </font>
    <font>
      <b/>
      <sz val="36"/>
      <color indexed="12"/>
      <name val="굴림체"/>
      <family val="3"/>
      <charset val="129"/>
    </font>
    <font>
      <sz val="8"/>
      <name val="돋움"/>
      <family val="3"/>
      <charset val="129"/>
    </font>
    <font>
      <b/>
      <sz val="22"/>
      <name val="굴림체"/>
      <family val="3"/>
      <charset val="129"/>
    </font>
    <font>
      <b/>
      <sz val="26"/>
      <name val="굴림체"/>
      <family val="3"/>
      <charset val="129"/>
    </font>
    <font>
      <b/>
      <sz val="11"/>
      <name val="굴림체"/>
      <family val="3"/>
      <charset val="129"/>
    </font>
    <font>
      <b/>
      <sz val="12"/>
      <name val="굴림체"/>
      <family val="3"/>
      <charset val="129"/>
    </font>
    <font>
      <b/>
      <sz val="18"/>
      <name val="굴림체"/>
      <family val="3"/>
      <charset val="129"/>
    </font>
    <font>
      <b/>
      <sz val="14"/>
      <color indexed="10"/>
      <name val="굴림체"/>
      <family val="3"/>
      <charset val="129"/>
    </font>
    <font>
      <sz val="11"/>
      <color indexed="10"/>
      <name val="굴림체"/>
      <family val="3"/>
      <charset val="129"/>
    </font>
    <font>
      <b/>
      <sz val="14"/>
      <color indexed="9"/>
      <name val="굴림체"/>
      <family val="3"/>
      <charset val="129"/>
    </font>
    <font>
      <sz val="14"/>
      <name val="굴림체"/>
      <family val="3"/>
      <charset val="129"/>
    </font>
    <font>
      <b/>
      <sz val="16"/>
      <name val="굴림체"/>
      <family val="3"/>
      <charset val="129"/>
    </font>
    <font>
      <sz val="11"/>
      <name val="굴림체"/>
      <family val="3"/>
      <charset val="129"/>
    </font>
    <font>
      <sz val="18"/>
      <name val="굴림체"/>
      <family val="3"/>
      <charset val="129"/>
    </font>
    <font>
      <b/>
      <sz val="17"/>
      <name val="굴림체"/>
      <family val="3"/>
      <charset val="129"/>
    </font>
    <font>
      <b/>
      <u/>
      <sz val="16"/>
      <color theme="1"/>
      <name val="굴림"/>
      <family val="3"/>
      <charset val="129"/>
    </font>
    <font>
      <sz val="10"/>
      <color theme="1"/>
      <name val="굴림"/>
      <family val="3"/>
      <charset val="129"/>
    </font>
    <font>
      <sz val="8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color theme="1"/>
      <name val="굴림"/>
      <family val="3"/>
      <charset val="129"/>
    </font>
    <font>
      <sz val="10"/>
      <name val="맑은 고딕"/>
      <family val="3"/>
      <charset val="129"/>
      <scheme val="minor"/>
    </font>
    <font>
      <sz val="8"/>
      <name val="굴림"/>
      <family val="3"/>
      <charset val="129"/>
    </font>
    <font>
      <sz val="6"/>
      <color theme="1"/>
      <name val="굴림"/>
      <family val="3"/>
      <charset val="129"/>
    </font>
    <font>
      <sz val="8"/>
      <color rgb="FF0070C0"/>
      <name val="맑은 고딕"/>
      <family val="3"/>
      <charset val="129"/>
      <scheme val="minor"/>
    </font>
    <font>
      <sz val="7"/>
      <color theme="1"/>
      <name val="굴림"/>
      <family val="3"/>
      <charset val="129"/>
    </font>
    <font>
      <i/>
      <sz val="8"/>
      <color theme="1"/>
      <name val="굴림"/>
      <family val="3"/>
      <charset val="129"/>
    </font>
    <font>
      <sz val="11"/>
      <name val="맑은 고딕"/>
      <family val="3"/>
      <charset val="129"/>
      <scheme val="minor"/>
    </font>
    <font>
      <b/>
      <sz val="8"/>
      <name val="굴림"/>
      <family val="3"/>
      <charset val="129"/>
    </font>
    <font>
      <b/>
      <sz val="8"/>
      <name val="맑은 고딕"/>
      <family val="3"/>
      <charset val="129"/>
      <scheme val="minor"/>
    </font>
    <font>
      <b/>
      <sz val="8"/>
      <color theme="1"/>
      <name val="굴림"/>
      <family val="3"/>
      <charset val="129"/>
    </font>
    <font>
      <sz val="11"/>
      <color theme="1"/>
      <name val="굴림"/>
      <family val="3"/>
      <charset val="129"/>
    </font>
    <font>
      <sz val="9"/>
      <color theme="1"/>
      <name val="맑은 고딕"/>
      <family val="2"/>
      <charset val="129"/>
      <scheme val="minor"/>
    </font>
    <font>
      <sz val="9"/>
      <name val="맑은 고딕"/>
      <family val="2"/>
      <charset val="129"/>
      <scheme val="minor"/>
    </font>
    <font>
      <sz val="8"/>
      <color indexed="8"/>
      <name val="굴림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12"/>
      </left>
      <right/>
      <top style="thin">
        <color indexed="12"/>
      </top>
      <bottom/>
      <diagonal/>
    </border>
    <border>
      <left/>
      <right/>
      <top style="thin">
        <color indexed="12"/>
      </top>
      <bottom/>
      <diagonal/>
    </border>
    <border>
      <left/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/>
      <top/>
      <bottom/>
      <diagonal/>
    </border>
    <border>
      <left/>
      <right style="thin">
        <color indexed="12"/>
      </right>
      <top/>
      <bottom/>
      <diagonal/>
    </border>
    <border>
      <left style="thin">
        <color indexed="12"/>
      </left>
      <right/>
      <top/>
      <bottom style="thin">
        <color indexed="12"/>
      </bottom>
      <diagonal/>
    </border>
    <border>
      <left/>
      <right/>
      <top/>
      <bottom style="thin">
        <color indexed="12"/>
      </bottom>
      <diagonal/>
    </border>
    <border>
      <left/>
      <right style="thin">
        <color indexed="12"/>
      </right>
      <top/>
      <bottom style="thin">
        <color indexed="1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11">
    <xf numFmtId="0" fontId="0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1" fillId="0" borderId="0"/>
    <xf numFmtId="0" fontId="11" fillId="0" borderId="0"/>
    <xf numFmtId="0" fontId="11" fillId="0" borderId="0"/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8" fillId="0" borderId="0"/>
  </cellStyleXfs>
  <cellXfs count="233">
    <xf numFmtId="0" fontId="0" fillId="0" borderId="0" xfId="0">
      <alignment vertical="center"/>
    </xf>
    <xf numFmtId="0" fontId="0" fillId="0" borderId="0" xfId="0" quotePrefix="1">
      <alignment vertical="center"/>
    </xf>
    <xf numFmtId="0" fontId="0" fillId="0" borderId="2" xfId="0" quotePrefix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176" fontId="0" fillId="0" borderId="0" xfId="0" applyNumberFormat="1">
      <alignment vertical="center"/>
    </xf>
    <xf numFmtId="0" fontId="2" fillId="0" borderId="6" xfId="0" applyFont="1" applyBorder="1" applyAlignment="1">
      <alignment vertical="center" wrapText="1"/>
    </xf>
    <xf numFmtId="0" fontId="7" fillId="2" borderId="6" xfId="0" quotePrefix="1" applyFont="1" applyFill="1" applyBorder="1" applyAlignment="1">
      <alignment horizontal="center" vertical="center" wrapText="1"/>
    </xf>
    <xf numFmtId="0" fontId="8" fillId="0" borderId="10" xfId="0" quotePrefix="1" applyFont="1" applyBorder="1" applyAlignment="1">
      <alignment vertical="center" wrapText="1"/>
    </xf>
    <xf numFmtId="0" fontId="8" fillId="0" borderId="6" xfId="0" quotePrefix="1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8" fillId="0" borderId="11" xfId="3" applyFont="1" applyBorder="1" applyAlignment="1">
      <alignment vertical="center" wrapText="1"/>
    </xf>
    <xf numFmtId="41" fontId="0" fillId="0" borderId="0" xfId="0" applyNumberFormat="1">
      <alignment vertical="center"/>
    </xf>
    <xf numFmtId="0" fontId="8" fillId="0" borderId="11" xfId="0" quotePrefix="1" applyFont="1" applyBorder="1" applyAlignment="1">
      <alignment vertical="center" wrapText="1"/>
    </xf>
    <xf numFmtId="0" fontId="8" fillId="0" borderId="6" xfId="3" applyFont="1" applyBorder="1" applyAlignment="1">
      <alignment vertical="center" wrapText="1"/>
    </xf>
    <xf numFmtId="0" fontId="2" fillId="0" borderId="0" xfId="3">
      <alignment vertical="center"/>
    </xf>
    <xf numFmtId="176" fontId="2" fillId="0" borderId="0" xfId="3" applyNumberFormat="1">
      <alignment vertical="center"/>
    </xf>
    <xf numFmtId="0" fontId="8" fillId="3" borderId="10" xfId="3" applyFont="1" applyFill="1" applyBorder="1" applyAlignment="1">
      <alignment vertical="center" wrapText="1"/>
    </xf>
    <xf numFmtId="0" fontId="8" fillId="3" borderId="6" xfId="3" applyFont="1" applyFill="1" applyBorder="1" applyAlignment="1">
      <alignment vertical="center" wrapText="1"/>
    </xf>
    <xf numFmtId="0" fontId="8" fillId="3" borderId="11" xfId="3" applyFont="1" applyFill="1" applyBorder="1" applyAlignment="1">
      <alignment vertical="center" wrapText="1"/>
    </xf>
    <xf numFmtId="0" fontId="8" fillId="0" borderId="12" xfId="0" quotePrefix="1" applyFont="1" applyBorder="1" applyAlignment="1">
      <alignment vertical="center" wrapText="1"/>
    </xf>
    <xf numFmtId="0" fontId="8" fillId="0" borderId="5" xfId="3" applyFont="1" applyBorder="1" applyAlignment="1">
      <alignment vertical="center" wrapText="1"/>
    </xf>
    <xf numFmtId="0" fontId="8" fillId="0" borderId="13" xfId="3" applyFont="1" applyBorder="1" applyAlignment="1">
      <alignment vertical="center" wrapText="1"/>
    </xf>
    <xf numFmtId="0" fontId="7" fillId="4" borderId="14" xfId="3" applyFont="1" applyFill="1" applyBorder="1" applyAlignment="1">
      <alignment vertical="center" wrapText="1"/>
    </xf>
    <xf numFmtId="0" fontId="7" fillId="4" borderId="15" xfId="3" applyFont="1" applyFill="1" applyBorder="1" applyAlignment="1">
      <alignment vertical="center" wrapText="1"/>
    </xf>
    <xf numFmtId="0" fontId="7" fillId="4" borderId="16" xfId="3" applyFont="1" applyFill="1" applyBorder="1" applyAlignment="1">
      <alignment vertical="center" wrapText="1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2" fillId="0" borderId="0" xfId="4" applyFont="1" applyAlignment="1">
      <alignment vertical="center"/>
    </xf>
    <xf numFmtId="0" fontId="15" fillId="0" borderId="0" xfId="4" applyFont="1" applyAlignment="1">
      <alignment vertical="center"/>
    </xf>
    <xf numFmtId="0" fontId="12" fillId="6" borderId="0" xfId="4" applyFont="1" applyFill="1" applyAlignment="1">
      <alignment vertical="center"/>
    </xf>
    <xf numFmtId="0" fontId="17" fillId="6" borderId="0" xfId="6" applyFont="1" applyFill="1" applyAlignment="1">
      <alignment vertical="center"/>
    </xf>
    <xf numFmtId="0" fontId="17" fillId="0" borderId="0" xfId="4" applyFont="1" applyAlignment="1">
      <alignment vertical="center"/>
    </xf>
    <xf numFmtId="0" fontId="18" fillId="0" borderId="0" xfId="4" applyFont="1" applyAlignment="1">
      <alignment vertical="center"/>
    </xf>
    <xf numFmtId="0" fontId="18" fillId="6" borderId="0" xfId="4" applyFont="1" applyFill="1" applyAlignment="1">
      <alignment horizontal="center" vertical="center"/>
    </xf>
    <xf numFmtId="0" fontId="18" fillId="6" borderId="0" xfId="6" applyFont="1" applyFill="1" applyAlignment="1">
      <alignment vertical="center"/>
    </xf>
    <xf numFmtId="0" fontId="18" fillId="6" borderId="0" xfId="6" applyFont="1" applyFill="1" applyAlignment="1">
      <alignment horizontal="right" vertical="center"/>
    </xf>
    <xf numFmtId="0" fontId="20" fillId="6" borderId="0" xfId="4" applyFont="1" applyFill="1" applyAlignment="1">
      <alignment horizontal="center" vertical="center"/>
    </xf>
    <xf numFmtId="0" fontId="21" fillId="6" borderId="0" xfId="6" applyFont="1" applyFill="1" applyAlignment="1">
      <alignment vertical="center"/>
    </xf>
    <xf numFmtId="0" fontId="18" fillId="0" borderId="0" xfId="5" applyFont="1" applyAlignment="1">
      <alignment horizontal="right" vertical="center"/>
    </xf>
    <xf numFmtId="0" fontId="12" fillId="0" borderId="0" xfId="5" applyFont="1" applyAlignment="1">
      <alignment horizontal="left" vertical="center"/>
    </xf>
    <xf numFmtId="0" fontId="12" fillId="0" borderId="0" xfId="5" applyFont="1" applyAlignment="1">
      <alignment vertical="center"/>
    </xf>
    <xf numFmtId="0" fontId="18" fillId="0" borderId="0" xfId="4" applyFont="1" applyAlignment="1">
      <alignment horizontal="left" vertical="center"/>
    </xf>
    <xf numFmtId="0" fontId="18" fillId="0" borderId="0" xfId="4" applyFont="1" applyAlignment="1">
      <alignment horizontal="center" vertical="center"/>
    </xf>
    <xf numFmtId="41" fontId="22" fillId="0" borderId="0" xfId="4" applyNumberFormat="1" applyFont="1" applyAlignment="1">
      <alignment vertical="center"/>
    </xf>
    <xf numFmtId="0" fontId="23" fillId="0" borderId="0" xfId="5" applyFont="1" applyAlignment="1">
      <alignment vertical="center"/>
    </xf>
    <xf numFmtId="0" fontId="25" fillId="0" borderId="0" xfId="6" applyFont="1" applyAlignment="1">
      <alignment vertical="center"/>
    </xf>
    <xf numFmtId="0" fontId="19" fillId="0" borderId="0" xfId="4" applyFont="1" applyAlignment="1">
      <alignment vertical="center"/>
    </xf>
    <xf numFmtId="0" fontId="19" fillId="0" borderId="0" xfId="4" applyFont="1" applyAlignment="1">
      <alignment horizontal="distributed" vertical="center"/>
    </xf>
    <xf numFmtId="0" fontId="26" fillId="0" borderId="0" xfId="6" applyFont="1" applyAlignment="1">
      <alignment vertical="center"/>
    </xf>
    <xf numFmtId="0" fontId="19" fillId="0" borderId="0" xfId="6" applyFont="1"/>
    <xf numFmtId="0" fontId="16" fillId="0" borderId="0" xfId="6" applyFont="1"/>
    <xf numFmtId="0" fontId="5" fillId="0" borderId="0" xfId="9">
      <alignment vertical="center"/>
    </xf>
    <xf numFmtId="0" fontId="4" fillId="0" borderId="0" xfId="9" applyFont="1">
      <alignment vertical="center"/>
    </xf>
    <xf numFmtId="0" fontId="29" fillId="0" borderId="0" xfId="9" quotePrefix="1" applyFont="1">
      <alignment vertical="center"/>
    </xf>
    <xf numFmtId="41" fontId="30" fillId="0" borderId="0" xfId="7" applyFont="1">
      <alignment vertical="center"/>
    </xf>
    <xf numFmtId="180" fontId="0" fillId="0" borderId="0" xfId="7" applyNumberFormat="1" applyFont="1" applyAlignment="1">
      <alignment horizontal="center" vertical="center"/>
    </xf>
    <xf numFmtId="0" fontId="31" fillId="0" borderId="5" xfId="9" quotePrefix="1" applyFont="1" applyBorder="1" applyAlignment="1">
      <alignment horizontal="center" vertical="center" shrinkToFit="1"/>
    </xf>
    <xf numFmtId="0" fontId="31" fillId="0" borderId="28" xfId="9" quotePrefix="1" applyFont="1" applyBorder="1" applyAlignment="1">
      <alignment horizontal="center" vertical="center" shrinkToFit="1"/>
    </xf>
    <xf numFmtId="0" fontId="31" fillId="8" borderId="5" xfId="9" quotePrefix="1" applyFont="1" applyFill="1" applyBorder="1" applyAlignment="1">
      <alignment horizontal="center" vertical="center"/>
    </xf>
    <xf numFmtId="41" fontId="31" fillId="8" borderId="26" xfId="9" quotePrefix="1" applyNumberFormat="1" applyFont="1" applyFill="1" applyBorder="1" applyAlignment="1">
      <alignment horizontal="center" vertical="center" shrinkToFit="1"/>
    </xf>
    <xf numFmtId="0" fontId="31" fillId="8" borderId="28" xfId="9" quotePrefix="1" applyFont="1" applyFill="1" applyBorder="1" applyAlignment="1">
      <alignment horizontal="center" vertical="center" shrinkToFit="1"/>
    </xf>
    <xf numFmtId="0" fontId="31" fillId="8" borderId="28" xfId="9" quotePrefix="1" applyFont="1" applyFill="1" applyBorder="1" applyAlignment="1">
      <alignment horizontal="center" vertical="center"/>
    </xf>
    <xf numFmtId="0" fontId="31" fillId="8" borderId="26" xfId="9" quotePrefix="1" applyFont="1" applyFill="1" applyBorder="1" applyAlignment="1">
      <alignment horizontal="center" vertical="center"/>
    </xf>
    <xf numFmtId="41" fontId="4" fillId="0" borderId="0" xfId="1" applyFont="1">
      <alignment vertical="center"/>
    </xf>
    <xf numFmtId="0" fontId="5" fillId="0" borderId="0" xfId="9" quotePrefix="1">
      <alignment vertical="center"/>
    </xf>
    <xf numFmtId="0" fontId="34" fillId="9" borderId="6" xfId="9" quotePrefix="1" applyFont="1" applyFill="1" applyBorder="1" applyAlignment="1">
      <alignment horizontal="center" vertical="center" wrapText="1"/>
    </xf>
    <xf numFmtId="41" fontId="30" fillId="9" borderId="6" xfId="7" applyFont="1" applyFill="1" applyBorder="1" applyAlignment="1">
      <alignment vertical="center" wrapText="1"/>
    </xf>
    <xf numFmtId="0" fontId="34" fillId="9" borderId="6" xfId="9" applyFont="1" applyFill="1" applyBorder="1" applyAlignment="1">
      <alignment vertical="center" wrapText="1"/>
    </xf>
    <xf numFmtId="181" fontId="34" fillId="9" borderId="32" xfId="9" applyNumberFormat="1" applyFont="1" applyFill="1" applyBorder="1" applyAlignment="1">
      <alignment horizontal="center" vertical="center" wrapText="1"/>
    </xf>
    <xf numFmtId="182" fontId="5" fillId="0" borderId="0" xfId="9" applyNumberFormat="1">
      <alignment vertical="center"/>
    </xf>
    <xf numFmtId="0" fontId="35" fillId="0" borderId="0" xfId="9" applyFont="1">
      <alignment vertical="center"/>
    </xf>
    <xf numFmtId="0" fontId="34" fillId="0" borderId="6" xfId="9" quotePrefix="1" applyFont="1" applyBorder="1" applyAlignment="1">
      <alignment horizontal="center" vertical="center" wrapText="1"/>
    </xf>
    <xf numFmtId="41" fontId="30" fillId="0" borderId="6" xfId="7" applyFont="1" applyBorder="1" applyAlignment="1">
      <alignment vertical="center" wrapText="1"/>
    </xf>
    <xf numFmtId="0" fontId="34" fillId="0" borderId="6" xfId="9" applyFont="1" applyBorder="1" applyAlignment="1">
      <alignment vertical="center" wrapText="1"/>
    </xf>
    <xf numFmtId="181" fontId="34" fillId="0" borderId="32" xfId="9" applyNumberFormat="1" applyFont="1" applyBorder="1" applyAlignment="1">
      <alignment horizontal="center" vertical="center" wrapText="1"/>
    </xf>
    <xf numFmtId="10" fontId="34" fillId="9" borderId="32" xfId="9" applyNumberFormat="1" applyFont="1" applyFill="1" applyBorder="1" applyAlignment="1">
      <alignment horizontal="center" vertical="center" wrapText="1"/>
    </xf>
    <xf numFmtId="10" fontId="34" fillId="0" borderId="32" xfId="9" applyNumberFormat="1" applyFont="1" applyBorder="1" applyAlignment="1">
      <alignment horizontal="center" vertical="center" wrapText="1"/>
    </xf>
    <xf numFmtId="10" fontId="36" fillId="0" borderId="32" xfId="9" applyNumberFormat="1" applyFont="1" applyBorder="1" applyAlignment="1">
      <alignment horizontal="center" vertical="center" wrapText="1"/>
    </xf>
    <xf numFmtId="183" fontId="4" fillId="0" borderId="0" xfId="9" applyNumberFormat="1" applyFont="1">
      <alignment vertical="center"/>
    </xf>
    <xf numFmtId="183" fontId="5" fillId="0" borderId="0" xfId="9" applyNumberFormat="1">
      <alignment vertical="center"/>
    </xf>
    <xf numFmtId="0" fontId="34" fillId="0" borderId="6" xfId="9" applyFont="1" applyBorder="1" applyAlignment="1">
      <alignment horizontal="center" vertical="center" wrapText="1"/>
    </xf>
    <xf numFmtId="0" fontId="34" fillId="0" borderId="0" xfId="9" quotePrefix="1" applyFont="1" applyAlignment="1">
      <alignment horizontal="center" vertical="center" textRotation="255" wrapText="1"/>
    </xf>
    <xf numFmtId="0" fontId="34" fillId="10" borderId="6" xfId="9" applyFont="1" applyFill="1" applyBorder="1" applyAlignment="1">
      <alignment horizontal="center" vertical="center" wrapText="1"/>
    </xf>
    <xf numFmtId="41" fontId="30" fillId="10" borderId="6" xfId="7" applyFont="1" applyFill="1" applyBorder="1" applyAlignment="1">
      <alignment vertical="center" wrapText="1"/>
    </xf>
    <xf numFmtId="0" fontId="34" fillId="10" borderId="6" xfId="9" applyFont="1" applyFill="1" applyBorder="1" applyAlignment="1">
      <alignment vertical="center" wrapText="1"/>
    </xf>
    <xf numFmtId="10" fontId="34" fillId="10" borderId="32" xfId="9" applyNumberFormat="1" applyFont="1" applyFill="1" applyBorder="1" applyAlignment="1">
      <alignment horizontal="center" vertical="center" wrapText="1"/>
    </xf>
    <xf numFmtId="0" fontId="37" fillId="10" borderId="6" xfId="9" applyFont="1" applyFill="1" applyBorder="1" applyAlignment="1">
      <alignment horizontal="center" vertical="center" wrapText="1"/>
    </xf>
    <xf numFmtId="0" fontId="34" fillId="0" borderId="27" xfId="9" quotePrefix="1" applyFont="1" applyBorder="1" applyAlignment="1">
      <alignment horizontal="center" vertical="center" textRotation="255" wrapText="1"/>
    </xf>
    <xf numFmtId="0" fontId="34" fillId="0" borderId="28" xfId="9" quotePrefix="1" applyFont="1" applyBorder="1" applyAlignment="1">
      <alignment horizontal="center" vertical="center" wrapText="1"/>
    </xf>
    <xf numFmtId="179" fontId="34" fillId="0" borderId="32" xfId="9" applyNumberFormat="1" applyFont="1" applyBorder="1" applyAlignment="1">
      <alignment horizontal="center" vertical="center" wrapText="1"/>
    </xf>
    <xf numFmtId="0" fontId="34" fillId="11" borderId="6" xfId="9" quotePrefix="1" applyFont="1" applyFill="1" applyBorder="1" applyAlignment="1">
      <alignment horizontal="center" vertical="center" wrapText="1"/>
    </xf>
    <xf numFmtId="41" fontId="30" fillId="11" borderId="6" xfId="7" applyFont="1" applyFill="1" applyBorder="1" applyAlignment="1">
      <alignment vertical="center" wrapText="1"/>
    </xf>
    <xf numFmtId="0" fontId="34" fillId="11" borderId="6" xfId="9" applyFont="1" applyFill="1" applyBorder="1" applyAlignment="1">
      <alignment vertical="center" wrapText="1"/>
    </xf>
    <xf numFmtId="10" fontId="34" fillId="11" borderId="32" xfId="9" applyNumberFormat="1" applyFont="1" applyFill="1" applyBorder="1" applyAlignment="1">
      <alignment horizontal="center" vertical="center" wrapText="1"/>
    </xf>
    <xf numFmtId="0" fontId="3" fillId="0" borderId="6" xfId="9" applyFont="1" applyBorder="1" applyAlignment="1">
      <alignment horizontal="center" vertical="center"/>
    </xf>
    <xf numFmtId="41" fontId="30" fillId="0" borderId="6" xfId="7" applyFont="1" applyFill="1" applyBorder="1" applyAlignment="1">
      <alignment vertical="center" wrapText="1"/>
    </xf>
    <xf numFmtId="183" fontId="30" fillId="0" borderId="6" xfId="7" applyNumberFormat="1" applyFont="1" applyFill="1" applyBorder="1" applyAlignment="1">
      <alignment vertical="center" wrapText="1"/>
    </xf>
    <xf numFmtId="0" fontId="34" fillId="0" borderId="1" xfId="9" quotePrefix="1" applyFont="1" applyBorder="1" applyAlignment="1">
      <alignment horizontal="center" vertical="center" wrapText="1"/>
    </xf>
    <xf numFmtId="41" fontId="38" fillId="10" borderId="6" xfId="7" applyFont="1" applyFill="1" applyBorder="1" applyAlignment="1">
      <alignment vertical="center" wrapText="1"/>
    </xf>
    <xf numFmtId="183" fontId="38" fillId="10" borderId="6" xfId="7" applyNumberFormat="1" applyFont="1" applyFill="1" applyBorder="1" applyAlignment="1">
      <alignment vertical="center" wrapText="1"/>
    </xf>
    <xf numFmtId="0" fontId="36" fillId="10" borderId="6" xfId="9" applyFont="1" applyFill="1" applyBorder="1" applyAlignment="1">
      <alignment horizontal="center" vertical="center" wrapText="1"/>
    </xf>
    <xf numFmtId="0" fontId="34" fillId="0" borderId="30" xfId="9" quotePrefix="1" applyFont="1" applyBorder="1" applyAlignment="1">
      <alignment horizontal="center" vertical="center" wrapText="1"/>
    </xf>
    <xf numFmtId="0" fontId="39" fillId="10" borderId="6" xfId="9" applyFont="1" applyFill="1" applyBorder="1" applyAlignment="1">
      <alignment vertical="center" wrapText="1"/>
    </xf>
    <xf numFmtId="181" fontId="34" fillId="10" borderId="32" xfId="9" applyNumberFormat="1" applyFont="1" applyFill="1" applyBorder="1" applyAlignment="1">
      <alignment horizontal="center" vertical="center" wrapText="1"/>
    </xf>
    <xf numFmtId="0" fontId="34" fillId="0" borderId="26" xfId="9" quotePrefix="1" applyFont="1" applyBorder="1" applyAlignment="1">
      <alignment horizontal="center" vertical="center" wrapText="1"/>
    </xf>
    <xf numFmtId="0" fontId="40" fillId="10" borderId="6" xfId="9" applyFont="1" applyFill="1" applyBorder="1" applyAlignment="1">
      <alignment vertical="center" wrapText="1"/>
    </xf>
    <xf numFmtId="41" fontId="30" fillId="0" borderId="5" xfId="7" applyFont="1" applyBorder="1" applyAlignment="1">
      <alignment vertical="center" wrapText="1"/>
    </xf>
    <xf numFmtId="179" fontId="36" fillId="0" borderId="5" xfId="2" quotePrefix="1" applyNumberFormat="1" applyFont="1" applyBorder="1" applyAlignment="1">
      <alignment horizontal="center" vertical="center" wrapText="1"/>
    </xf>
    <xf numFmtId="184" fontId="35" fillId="0" borderId="0" xfId="1" applyNumberFormat="1" applyFont="1">
      <alignment vertical="center"/>
    </xf>
    <xf numFmtId="0" fontId="41" fillId="0" borderId="0" xfId="9" applyFont="1">
      <alignment vertical="center"/>
    </xf>
    <xf numFmtId="10" fontId="34" fillId="0" borderId="36" xfId="9" applyNumberFormat="1" applyFont="1" applyBorder="1" applyAlignment="1">
      <alignment horizontal="center" vertical="center" wrapText="1"/>
    </xf>
    <xf numFmtId="0" fontId="42" fillId="11" borderId="15" xfId="9" quotePrefix="1" applyFont="1" applyFill="1" applyBorder="1" applyAlignment="1">
      <alignment horizontal="center" vertical="center" wrapText="1"/>
    </xf>
    <xf numFmtId="41" fontId="43" fillId="11" borderId="15" xfId="7" applyFont="1" applyFill="1" applyBorder="1" applyAlignment="1">
      <alignment vertical="center" wrapText="1"/>
    </xf>
    <xf numFmtId="0" fontId="42" fillId="11" borderId="15" xfId="9" applyFont="1" applyFill="1" applyBorder="1" applyAlignment="1">
      <alignment vertical="center" wrapText="1"/>
    </xf>
    <xf numFmtId="10" fontId="42" fillId="11" borderId="37" xfId="9" applyNumberFormat="1" applyFont="1" applyFill="1" applyBorder="1" applyAlignment="1">
      <alignment horizontal="center" vertical="center" wrapText="1"/>
    </xf>
    <xf numFmtId="41" fontId="30" fillId="0" borderId="28" xfId="7" applyFont="1" applyFill="1" applyBorder="1" applyAlignment="1">
      <alignment vertical="center" wrapText="1"/>
    </xf>
    <xf numFmtId="0" fontId="34" fillId="0" borderId="28" xfId="9" applyFont="1" applyBorder="1" applyAlignment="1">
      <alignment vertical="center" wrapText="1"/>
    </xf>
    <xf numFmtId="181" fontId="34" fillId="0" borderId="38" xfId="9" applyNumberFormat="1" applyFont="1" applyBorder="1" applyAlignment="1">
      <alignment horizontal="center" vertical="center" wrapText="1"/>
    </xf>
    <xf numFmtId="181" fontId="34" fillId="0" borderId="26" xfId="9" applyNumberFormat="1" applyFont="1" applyBorder="1" applyAlignment="1">
      <alignment horizontal="center" vertical="center" wrapText="1"/>
    </xf>
    <xf numFmtId="0" fontId="34" fillId="0" borderId="30" xfId="9" quotePrefix="1" applyFont="1" applyBorder="1" applyAlignment="1">
      <alignment vertical="center" wrapText="1"/>
    </xf>
    <xf numFmtId="0" fontId="34" fillId="10" borderId="6" xfId="9" quotePrefix="1" applyFont="1" applyFill="1" applyBorder="1" applyAlignment="1">
      <alignment horizontal="center" vertical="center" wrapText="1"/>
    </xf>
    <xf numFmtId="0" fontId="34" fillId="0" borderId="26" xfId="9" quotePrefix="1" applyFont="1" applyBorder="1" applyAlignment="1">
      <alignment vertical="center" wrapText="1"/>
    </xf>
    <xf numFmtId="41" fontId="31" fillId="4" borderId="6" xfId="7" applyFont="1" applyFill="1" applyBorder="1" applyAlignment="1">
      <alignment vertical="center" wrapText="1"/>
    </xf>
    <xf numFmtId="41" fontId="31" fillId="11" borderId="6" xfId="7" applyFont="1" applyFill="1" applyBorder="1" applyAlignment="1">
      <alignment vertical="center" wrapText="1"/>
    </xf>
    <xf numFmtId="0" fontId="44" fillId="11" borderId="6" xfId="9" applyFont="1" applyFill="1" applyBorder="1" applyAlignment="1">
      <alignment vertical="center" wrapText="1"/>
    </xf>
    <xf numFmtId="181" fontId="44" fillId="11" borderId="32" xfId="9" applyNumberFormat="1" applyFont="1" applyFill="1" applyBorder="1" applyAlignment="1">
      <alignment horizontal="center" vertical="center" wrapText="1"/>
    </xf>
    <xf numFmtId="0" fontId="44" fillId="11" borderId="6" xfId="9" quotePrefix="1" applyFont="1" applyFill="1" applyBorder="1" applyAlignment="1">
      <alignment horizontal="center" vertical="center" wrapText="1"/>
    </xf>
    <xf numFmtId="0" fontId="45" fillId="0" borderId="0" xfId="9" applyFont="1" applyAlignment="1">
      <alignment vertical="center" wrapText="1"/>
    </xf>
    <xf numFmtId="41" fontId="30" fillId="0" borderId="0" xfId="7" applyFont="1" applyAlignment="1">
      <alignment vertical="center" wrapText="1"/>
    </xf>
    <xf numFmtId="0" fontId="45" fillId="0" borderId="0" xfId="9" applyFont="1" applyAlignment="1">
      <alignment horizontal="center" vertical="center" wrapText="1"/>
    </xf>
    <xf numFmtId="41" fontId="35" fillId="0" borderId="0" xfId="1" applyFont="1">
      <alignment vertical="center"/>
    </xf>
    <xf numFmtId="41" fontId="32" fillId="7" borderId="0" xfId="7" applyFont="1" applyFill="1" applyBorder="1" applyAlignment="1">
      <alignment vertical="center" wrapText="1"/>
    </xf>
    <xf numFmtId="41" fontId="46" fillId="0" borderId="0" xfId="1" applyFont="1">
      <alignment vertical="center"/>
    </xf>
    <xf numFmtId="0" fontId="30" fillId="0" borderId="0" xfId="9" applyFont="1">
      <alignment vertical="center"/>
    </xf>
    <xf numFmtId="0" fontId="30" fillId="0" borderId="0" xfId="9" applyFont="1" applyAlignment="1">
      <alignment horizontal="center" vertical="center"/>
    </xf>
    <xf numFmtId="0" fontId="5" fillId="0" borderId="0" xfId="9" applyAlignment="1">
      <alignment horizontal="center" vertical="center"/>
    </xf>
    <xf numFmtId="0" fontId="47" fillId="0" borderId="0" xfId="9" applyFont="1">
      <alignment vertical="center"/>
    </xf>
    <xf numFmtId="180" fontId="47" fillId="0" borderId="0" xfId="1" applyNumberFormat="1" applyFont="1">
      <alignment vertical="center"/>
    </xf>
    <xf numFmtId="176" fontId="2" fillId="0" borderId="6" xfId="0" applyNumberFormat="1" applyFont="1" applyBorder="1" applyAlignment="1">
      <alignment vertical="center" wrapText="1"/>
    </xf>
    <xf numFmtId="0" fontId="0" fillId="0" borderId="6" xfId="0" quotePrefix="1" applyBorder="1" applyAlignment="1">
      <alignment vertical="center" wrapText="1"/>
    </xf>
    <xf numFmtId="0" fontId="3" fillId="0" borderId="6" xfId="0" quotePrefix="1" applyFont="1" applyBorder="1" applyAlignment="1">
      <alignment horizontal="center" vertical="center"/>
    </xf>
    <xf numFmtId="41" fontId="8" fillId="3" borderId="6" xfId="3" applyNumberFormat="1" applyFont="1" applyFill="1" applyBorder="1" applyAlignment="1">
      <alignment vertical="center" wrapText="1"/>
    </xf>
    <xf numFmtId="41" fontId="8" fillId="3" borderId="6" xfId="0" applyNumberFormat="1" applyFont="1" applyFill="1" applyBorder="1" applyAlignment="1">
      <alignment vertical="center" wrapText="1"/>
    </xf>
    <xf numFmtId="41" fontId="8" fillId="0" borderId="6" xfId="0" applyNumberFormat="1" applyFont="1" applyBorder="1" applyAlignment="1">
      <alignment vertical="center" wrapText="1"/>
    </xf>
    <xf numFmtId="41" fontId="8" fillId="0" borderId="41" xfId="0" applyNumberFormat="1" applyFont="1" applyBorder="1" applyAlignment="1">
      <alignment vertical="center" wrapText="1"/>
    </xf>
    <xf numFmtId="41" fontId="8" fillId="0" borderId="5" xfId="0" applyNumberFormat="1" applyFont="1" applyBorder="1" applyAlignment="1">
      <alignment vertical="center" wrapText="1"/>
    </xf>
    <xf numFmtId="41" fontId="7" fillId="4" borderId="15" xfId="0" applyNumberFormat="1" applyFont="1" applyFill="1" applyBorder="1" applyAlignment="1">
      <alignment vertical="center" wrapText="1"/>
    </xf>
    <xf numFmtId="41" fontId="7" fillId="4" borderId="15" xfId="3" applyNumberFormat="1" applyFont="1" applyFill="1" applyBorder="1" applyAlignment="1">
      <alignment vertical="center" wrapText="1"/>
    </xf>
    <xf numFmtId="41" fontId="0" fillId="0" borderId="0" xfId="1" applyFont="1">
      <alignment vertical="center"/>
    </xf>
    <xf numFmtId="0" fontId="8" fillId="0" borderId="41" xfId="0" quotePrefix="1" applyFont="1" applyBorder="1" applyAlignment="1">
      <alignment vertical="center" wrapText="1"/>
    </xf>
    <xf numFmtId="0" fontId="8" fillId="0" borderId="41" xfId="0" applyFont="1" applyBorder="1" applyAlignment="1">
      <alignment vertical="center" wrapText="1"/>
    </xf>
    <xf numFmtId="0" fontId="2" fillId="0" borderId="41" xfId="0" applyFont="1" applyBorder="1" applyAlignment="1">
      <alignment vertical="center" wrapText="1"/>
    </xf>
    <xf numFmtId="0" fontId="3" fillId="0" borderId="41" xfId="0" quotePrefix="1" applyFont="1" applyBorder="1" applyAlignment="1">
      <alignment horizontal="center" vertical="center"/>
    </xf>
    <xf numFmtId="176" fontId="2" fillId="0" borderId="41" xfId="0" applyNumberFormat="1" applyFont="1" applyBorder="1" applyAlignment="1">
      <alignment vertical="center" wrapText="1"/>
    </xf>
    <xf numFmtId="0" fontId="0" fillId="0" borderId="41" xfId="0" quotePrefix="1" applyBorder="1" applyAlignment="1">
      <alignment vertical="center" wrapText="1"/>
    </xf>
    <xf numFmtId="41" fontId="30" fillId="0" borderId="0" xfId="1" applyFont="1" applyAlignment="1">
      <alignment vertical="center" wrapText="1"/>
    </xf>
    <xf numFmtId="41" fontId="2" fillId="0" borderId="0" xfId="1" applyFont="1">
      <alignment vertical="center"/>
    </xf>
    <xf numFmtId="0" fontId="0" fillId="0" borderId="0" xfId="0" quotePrefix="1">
      <alignment vertical="center"/>
    </xf>
    <xf numFmtId="0" fontId="24" fillId="0" borderId="0" xfId="4" applyFont="1" applyAlignment="1">
      <alignment horizontal="distributed" vertical="center"/>
    </xf>
    <xf numFmtId="0" fontId="25" fillId="0" borderId="0" xfId="6" applyFont="1" applyAlignment="1">
      <alignment vertical="center"/>
    </xf>
    <xf numFmtId="0" fontId="27" fillId="0" borderId="0" xfId="4" applyFont="1" applyAlignment="1">
      <alignment horizontal="distributed" vertical="center"/>
    </xf>
    <xf numFmtId="0" fontId="19" fillId="0" borderId="0" xfId="5" applyFont="1" applyAlignment="1">
      <alignment horizontal="center" vertical="center"/>
    </xf>
    <xf numFmtId="0" fontId="16" fillId="0" borderId="0" xfId="5" applyFont="1" applyAlignment="1">
      <alignment horizontal="center" vertical="center"/>
    </xf>
    <xf numFmtId="178" fontId="12" fillId="0" borderId="0" xfId="6" applyNumberFormat="1" applyFont="1" applyAlignment="1">
      <alignment horizontal="center" vertical="center"/>
    </xf>
    <xf numFmtId="41" fontId="18" fillId="6" borderId="0" xfId="6" applyNumberFormat="1" applyFont="1" applyFill="1" applyAlignment="1">
      <alignment horizontal="center" vertical="center"/>
    </xf>
    <xf numFmtId="0" fontId="18" fillId="6" borderId="0" xfId="6" applyFont="1" applyFill="1" applyAlignment="1">
      <alignment horizontal="center" vertical="center"/>
    </xf>
    <xf numFmtId="0" fontId="13" fillId="5" borderId="17" xfId="4" applyFont="1" applyFill="1" applyBorder="1" applyAlignment="1">
      <alignment horizontal="center" vertical="center"/>
    </xf>
    <xf numFmtId="0" fontId="13" fillId="5" borderId="18" xfId="4" applyFont="1" applyFill="1" applyBorder="1" applyAlignment="1">
      <alignment horizontal="center" vertical="center"/>
    </xf>
    <xf numFmtId="0" fontId="13" fillId="5" borderId="19" xfId="4" applyFont="1" applyFill="1" applyBorder="1" applyAlignment="1">
      <alignment horizontal="center" vertical="center"/>
    </xf>
    <xf numFmtId="0" fontId="13" fillId="5" borderId="20" xfId="4" applyFont="1" applyFill="1" applyBorder="1" applyAlignment="1">
      <alignment horizontal="center" vertical="center"/>
    </xf>
    <xf numFmtId="0" fontId="13" fillId="5" borderId="0" xfId="4" applyFont="1" applyFill="1" applyAlignment="1">
      <alignment horizontal="center" vertical="center"/>
    </xf>
    <xf numFmtId="0" fontId="13" fillId="5" borderId="21" xfId="4" applyFont="1" applyFill="1" applyBorder="1" applyAlignment="1">
      <alignment horizontal="center" vertical="center"/>
    </xf>
    <xf numFmtId="0" fontId="13" fillId="5" borderId="22" xfId="4" applyFont="1" applyFill="1" applyBorder="1" applyAlignment="1">
      <alignment horizontal="center" vertical="center"/>
    </xf>
    <xf numFmtId="0" fontId="13" fillId="5" borderId="23" xfId="4" applyFont="1" applyFill="1" applyBorder="1" applyAlignment="1">
      <alignment horizontal="center" vertical="center"/>
    </xf>
    <xf numFmtId="0" fontId="13" fillId="5" borderId="24" xfId="4" applyFont="1" applyFill="1" applyBorder="1" applyAlignment="1">
      <alignment horizontal="center" vertical="center"/>
    </xf>
    <xf numFmtId="0" fontId="17" fillId="6" borderId="0" xfId="6" applyFont="1" applyFill="1" applyAlignment="1">
      <alignment horizontal="center" vertical="center"/>
    </xf>
    <xf numFmtId="41" fontId="17" fillId="6" borderId="0" xfId="6" applyNumberFormat="1" applyFont="1" applyFill="1" applyAlignment="1">
      <alignment horizontal="center" vertical="center"/>
    </xf>
    <xf numFmtId="0" fontId="34" fillId="10" borderId="32" xfId="9" quotePrefix="1" applyFont="1" applyFill="1" applyBorder="1" applyAlignment="1">
      <alignment horizontal="center" vertical="center" wrapText="1"/>
    </xf>
    <xf numFmtId="0" fontId="34" fillId="10" borderId="34" xfId="9" quotePrefix="1" applyFont="1" applyFill="1" applyBorder="1" applyAlignment="1">
      <alignment horizontal="center" vertical="center" wrapText="1"/>
    </xf>
    <xf numFmtId="0" fontId="34" fillId="10" borderId="33" xfId="9" quotePrefix="1" applyFont="1" applyFill="1" applyBorder="1" applyAlignment="1">
      <alignment horizontal="center" vertical="center" wrapText="1"/>
    </xf>
    <xf numFmtId="0" fontId="44" fillId="4" borderId="6" xfId="9" quotePrefix="1" applyFont="1" applyFill="1" applyBorder="1" applyAlignment="1">
      <alignment horizontal="center" vertical="center" wrapText="1"/>
    </xf>
    <xf numFmtId="0" fontId="34" fillId="0" borderId="25" xfId="9" quotePrefix="1" applyFont="1" applyBorder="1" applyAlignment="1">
      <alignment horizontal="center" vertical="center" wrapText="1"/>
    </xf>
    <xf numFmtId="0" fontId="34" fillId="0" borderId="34" xfId="9" quotePrefix="1" applyFont="1" applyBorder="1" applyAlignment="1">
      <alignment horizontal="center" vertical="center" wrapText="1"/>
    </xf>
    <xf numFmtId="0" fontId="34" fillId="0" borderId="33" xfId="9" quotePrefix="1" applyFont="1" applyBorder="1" applyAlignment="1">
      <alignment horizontal="center" vertical="center" wrapText="1"/>
    </xf>
    <xf numFmtId="0" fontId="34" fillId="0" borderId="38" xfId="9" quotePrefix="1" applyFont="1" applyBorder="1" applyAlignment="1">
      <alignment horizontal="center" vertical="center" wrapText="1"/>
    </xf>
    <xf numFmtId="0" fontId="34" fillId="0" borderId="39" xfId="9" quotePrefix="1" applyFont="1" applyBorder="1" applyAlignment="1">
      <alignment horizontal="center" vertical="center" wrapText="1"/>
    </xf>
    <xf numFmtId="0" fontId="34" fillId="0" borderId="40" xfId="9" quotePrefix="1" applyFont="1" applyBorder="1" applyAlignment="1">
      <alignment horizontal="center" vertical="center" wrapText="1"/>
    </xf>
    <xf numFmtId="0" fontId="34" fillId="0" borderId="6" xfId="9" quotePrefix="1" applyFont="1" applyBorder="1" applyAlignment="1">
      <alignment horizontal="center" vertical="center" wrapText="1"/>
    </xf>
    <xf numFmtId="0" fontId="36" fillId="0" borderId="30" xfId="9" quotePrefix="1" applyFont="1" applyBorder="1" applyAlignment="1">
      <alignment horizontal="center" vertical="center" wrapText="1"/>
    </xf>
    <xf numFmtId="0" fontId="36" fillId="0" borderId="0" xfId="9" quotePrefix="1" applyFont="1" applyAlignment="1">
      <alignment horizontal="center" vertical="center" wrapText="1"/>
    </xf>
    <xf numFmtId="0" fontId="36" fillId="0" borderId="31" xfId="9" quotePrefix="1" applyFont="1" applyBorder="1" applyAlignment="1">
      <alignment horizontal="center" vertical="center" wrapText="1"/>
    </xf>
    <xf numFmtId="0" fontId="36" fillId="10" borderId="32" xfId="9" quotePrefix="1" applyFont="1" applyFill="1" applyBorder="1" applyAlignment="1">
      <alignment horizontal="center" vertical="center" wrapText="1"/>
    </xf>
    <xf numFmtId="0" fontId="36" fillId="10" borderId="34" xfId="9" quotePrefix="1" applyFont="1" applyFill="1" applyBorder="1" applyAlignment="1">
      <alignment horizontal="center" vertical="center" wrapText="1"/>
    </xf>
    <xf numFmtId="0" fontId="36" fillId="10" borderId="33" xfId="9" quotePrefix="1" applyFont="1" applyFill="1" applyBorder="1" applyAlignment="1">
      <alignment horizontal="center" vertical="center" wrapText="1"/>
    </xf>
    <xf numFmtId="0" fontId="34" fillId="11" borderId="6" xfId="9" quotePrefix="1" applyFont="1" applyFill="1" applyBorder="1" applyAlignment="1">
      <alignment horizontal="center" vertical="center" wrapText="1"/>
    </xf>
    <xf numFmtId="0" fontId="34" fillId="0" borderId="5" xfId="9" quotePrefix="1" applyFont="1" applyBorder="1" applyAlignment="1">
      <alignment horizontal="center" vertical="center" wrapText="1"/>
    </xf>
    <xf numFmtId="0" fontId="42" fillId="11" borderId="15" xfId="9" quotePrefix="1" applyFont="1" applyFill="1" applyBorder="1" applyAlignment="1">
      <alignment horizontal="center" vertical="center" wrapText="1"/>
    </xf>
    <xf numFmtId="0" fontId="34" fillId="0" borderId="5" xfId="9" quotePrefix="1" applyFont="1" applyBorder="1" applyAlignment="1">
      <alignment horizontal="center" vertical="center" textRotation="255" wrapText="1"/>
    </xf>
    <xf numFmtId="0" fontId="34" fillId="0" borderId="1" xfId="9" quotePrefix="1" applyFont="1" applyBorder="1" applyAlignment="1">
      <alignment horizontal="center" vertical="center" textRotation="255" wrapText="1"/>
    </xf>
    <xf numFmtId="0" fontId="34" fillId="0" borderId="28" xfId="9" quotePrefix="1" applyFont="1" applyBorder="1" applyAlignment="1">
      <alignment horizontal="center" vertical="center" textRotation="255" wrapText="1"/>
    </xf>
    <xf numFmtId="0" fontId="34" fillId="9" borderId="33" xfId="9" quotePrefix="1" applyFont="1" applyFill="1" applyBorder="1" applyAlignment="1">
      <alignment horizontal="center" vertical="center" wrapText="1"/>
    </xf>
    <xf numFmtId="0" fontId="34" fillId="9" borderId="6" xfId="9" quotePrefix="1" applyFont="1" applyFill="1" applyBorder="1" applyAlignment="1">
      <alignment horizontal="center" vertical="center" wrapText="1"/>
    </xf>
    <xf numFmtId="0" fontId="34" fillId="0" borderId="29" xfId="9" quotePrefix="1" applyFont="1" applyBorder="1" applyAlignment="1">
      <alignment horizontal="center" vertical="center" wrapText="1"/>
    </xf>
    <xf numFmtId="0" fontId="34" fillId="0" borderId="35" xfId="9" quotePrefix="1" applyFont="1" applyBorder="1" applyAlignment="1">
      <alignment horizontal="center" vertical="center" wrapText="1"/>
    </xf>
    <xf numFmtId="0" fontId="34" fillId="0" borderId="28" xfId="9" quotePrefix="1" applyFont="1" applyBorder="1" applyAlignment="1">
      <alignment horizontal="center" vertical="center" wrapText="1"/>
    </xf>
    <xf numFmtId="0" fontId="34" fillId="0" borderId="32" xfId="9" quotePrefix="1" applyFont="1" applyBorder="1" applyAlignment="1">
      <alignment horizontal="center" vertical="center" wrapText="1"/>
    </xf>
    <xf numFmtId="0" fontId="34" fillId="0" borderId="33" xfId="9" applyFont="1" applyBorder="1" applyAlignment="1">
      <alignment horizontal="center" vertical="center" wrapText="1"/>
    </xf>
    <xf numFmtId="0" fontId="34" fillId="0" borderId="6" xfId="9" applyFont="1" applyBorder="1" applyAlignment="1">
      <alignment horizontal="center" vertical="center" wrapText="1"/>
    </xf>
    <xf numFmtId="0" fontId="34" fillId="0" borderId="27" xfId="9" quotePrefix="1" applyFont="1" applyBorder="1" applyAlignment="1">
      <alignment horizontal="center" vertical="center" wrapText="1"/>
    </xf>
    <xf numFmtId="0" fontId="31" fillId="8" borderId="32" xfId="9" quotePrefix="1" applyFont="1" applyFill="1" applyBorder="1" applyAlignment="1">
      <alignment horizontal="center" vertical="center"/>
    </xf>
    <xf numFmtId="0" fontId="31" fillId="8" borderId="34" xfId="9" quotePrefix="1" applyFont="1" applyFill="1" applyBorder="1" applyAlignment="1">
      <alignment horizontal="center" vertical="center"/>
    </xf>
    <xf numFmtId="0" fontId="31" fillId="8" borderId="33" xfId="9" quotePrefix="1" applyFont="1" applyFill="1" applyBorder="1" applyAlignment="1">
      <alignment horizontal="center" vertical="center"/>
    </xf>
    <xf numFmtId="0" fontId="34" fillId="0" borderId="5" xfId="9" applyFont="1" applyBorder="1" applyAlignment="1">
      <alignment horizontal="center" vertical="center" wrapText="1"/>
    </xf>
    <xf numFmtId="0" fontId="34" fillId="0" borderId="28" xfId="9" applyFont="1" applyBorder="1" applyAlignment="1">
      <alignment horizontal="center" vertical="center" wrapText="1"/>
    </xf>
    <xf numFmtId="0" fontId="34" fillId="0" borderId="1" xfId="9" applyFont="1" applyBorder="1" applyAlignment="1">
      <alignment horizontal="center" vertical="center" wrapText="1"/>
    </xf>
    <xf numFmtId="0" fontId="28" fillId="0" borderId="0" xfId="9" applyFont="1" applyAlignment="1">
      <alignment horizontal="center" vertical="center" shrinkToFit="1"/>
    </xf>
    <xf numFmtId="0" fontId="31" fillId="0" borderId="6" xfId="9" quotePrefix="1" applyFont="1" applyBorder="1" applyAlignment="1">
      <alignment horizontal="center" vertical="center"/>
    </xf>
    <xf numFmtId="0" fontId="33" fillId="0" borderId="25" xfId="9" quotePrefix="1" applyFont="1" applyBorder="1" applyAlignment="1">
      <alignment horizontal="center" vertical="center" shrinkToFit="1"/>
    </xf>
    <xf numFmtId="0" fontId="33" fillId="0" borderId="26" xfId="9" quotePrefix="1" applyFont="1" applyBorder="1" applyAlignment="1">
      <alignment horizontal="center" vertical="center" shrinkToFit="1"/>
    </xf>
    <xf numFmtId="0" fontId="31" fillId="0" borderId="5" xfId="9" quotePrefix="1" applyFont="1" applyBorder="1" applyAlignment="1">
      <alignment horizontal="center" vertical="center"/>
    </xf>
    <xf numFmtId="0" fontId="31" fillId="0" borderId="28" xfId="9" quotePrefix="1" applyFont="1" applyBorder="1" applyAlignment="1">
      <alignment horizontal="center" vertical="center"/>
    </xf>
    <xf numFmtId="0" fontId="0" fillId="0" borderId="0" xfId="0" quotePrefix="1">
      <alignment vertical="center"/>
    </xf>
    <xf numFmtId="0" fontId="3" fillId="2" borderId="9" xfId="0" quotePrefix="1" applyFont="1" applyFill="1" applyBorder="1" applyAlignment="1">
      <alignment horizontal="center" vertical="center"/>
    </xf>
    <xf numFmtId="0" fontId="7" fillId="2" borderId="11" xfId="0" quotePrefix="1" applyFont="1" applyFill="1" applyBorder="1" applyAlignment="1">
      <alignment horizontal="center" vertical="center" wrapText="1"/>
    </xf>
    <xf numFmtId="0" fontId="6" fillId="0" borderId="0" xfId="0" quotePrefix="1" applyFont="1" applyAlignment="1">
      <alignment horizontal="center" vertical="center"/>
    </xf>
    <xf numFmtId="177" fontId="0" fillId="0" borderId="0" xfId="0" quotePrefix="1" applyNumberFormat="1">
      <alignment vertical="center"/>
    </xf>
    <xf numFmtId="0" fontId="3" fillId="2" borderId="7" xfId="0" quotePrefix="1" applyFont="1" applyFill="1" applyBorder="1" applyAlignment="1">
      <alignment horizontal="center" vertical="center"/>
    </xf>
    <xf numFmtId="0" fontId="7" fillId="2" borderId="10" xfId="0" quotePrefix="1" applyFont="1" applyFill="1" applyBorder="1" applyAlignment="1">
      <alignment horizontal="center" vertical="center" wrapText="1"/>
    </xf>
    <xf numFmtId="0" fontId="3" fillId="2" borderId="8" xfId="0" quotePrefix="1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 wrapText="1"/>
    </xf>
    <xf numFmtId="0" fontId="3" fillId="0" borderId="41" xfId="0" quotePrefix="1" applyFont="1" applyBorder="1" applyAlignment="1">
      <alignment horizontal="center" vertical="center"/>
    </xf>
    <xf numFmtId="0" fontId="3" fillId="0" borderId="6" xfId="0" quotePrefix="1" applyFont="1" applyBorder="1" applyAlignment="1">
      <alignment horizontal="center" vertical="center"/>
    </xf>
  </cellXfs>
  <cellStyles count="11">
    <cellStyle name="백분율" xfId="2" builtinId="5"/>
    <cellStyle name="백분율 2" xfId="8" xr:uid="{00000000-0005-0000-0000-000001000000}"/>
    <cellStyle name="쉼표 [0]" xfId="1" builtinId="6"/>
    <cellStyle name="쉼표 [0] 2 3" xfId="7" xr:uid="{00000000-0005-0000-0000-000003000000}"/>
    <cellStyle name="표준" xfId="0" builtinId="0"/>
    <cellStyle name="표준 2" xfId="10" xr:uid="{00000000-0005-0000-0000-000005000000}"/>
    <cellStyle name="표준 2 2 2" xfId="3" xr:uid="{00000000-0005-0000-0000-000006000000}"/>
    <cellStyle name="표준 2 3" xfId="9" xr:uid="{00000000-0005-0000-0000-000007000000}"/>
    <cellStyle name="표준_(주)아이센스 송도공장 내역서-11.07(내꺼)" xfId="6" xr:uid="{00000000-0005-0000-0000-000008000000}"/>
    <cellStyle name="표준_4,048,470,000총부기내역서" xfId="5" xr:uid="{00000000-0005-0000-0000-000009000000}"/>
    <cellStyle name="표준_금오교사동(총괄)" xfId="4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0</xdr:colOff>
      <xdr:row>28</xdr:row>
      <xdr:rowOff>0</xdr:rowOff>
    </xdr:from>
    <xdr:to>
      <xdr:col>41</xdr:col>
      <xdr:colOff>0</xdr:colOff>
      <xdr:row>28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883D23B-6E46-4F0A-A85F-C73D3BC48336}"/>
            </a:ext>
          </a:extLst>
        </xdr:cNvPr>
        <xdr:cNvSpPr>
          <a:spLocks noChangeShapeType="1"/>
        </xdr:cNvSpPr>
      </xdr:nvSpPr>
      <xdr:spPr bwMode="auto">
        <a:xfrm>
          <a:off x="14011275" y="8505825"/>
          <a:ext cx="0" cy="0"/>
        </a:xfrm>
        <a:prstGeom prst="line">
          <a:avLst/>
        </a:prstGeom>
        <a:noFill/>
        <a:ln w="76200" cmpd="tri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32"/>
  <sheetViews>
    <sheetView tabSelected="1" view="pageBreakPreview" zoomScaleNormal="100" zoomScaleSheetLayoutView="100" workbookViewId="0">
      <selection activeCell="M5" sqref="M5:AC7"/>
    </sheetView>
  </sheetViews>
  <sheetFormatPr defaultColWidth="10" defaultRowHeight="34.5" customHeight="1"/>
  <cols>
    <col min="1" max="12" width="3.1640625" style="28" customWidth="1"/>
    <col min="13" max="29" width="6" style="28" customWidth="1"/>
    <col min="30" max="40" width="3.1640625" style="28" customWidth="1"/>
    <col min="41" max="16384" width="10" style="28"/>
  </cols>
  <sheetData>
    <row r="1" spans="1:40" ht="17.5"/>
    <row r="2" spans="1:40" ht="17.5"/>
    <row r="3" spans="1:40" ht="17.5"/>
    <row r="4" spans="1:40" ht="17.5"/>
    <row r="5" spans="1:40" ht="17.5">
      <c r="M5" s="167" t="s">
        <v>72</v>
      </c>
      <c r="N5" s="168"/>
      <c r="O5" s="168"/>
      <c r="P5" s="168"/>
      <c r="Q5" s="168"/>
      <c r="R5" s="168"/>
      <c r="S5" s="168"/>
      <c r="T5" s="168"/>
      <c r="U5" s="168"/>
      <c r="V5" s="168"/>
      <c r="W5" s="168"/>
      <c r="X5" s="168"/>
      <c r="Y5" s="168"/>
      <c r="Z5" s="168"/>
      <c r="AA5" s="168"/>
      <c r="AB5" s="168"/>
      <c r="AC5" s="169"/>
    </row>
    <row r="6" spans="1:40" s="29" customFormat="1" ht="28.5">
      <c r="M6" s="170"/>
      <c r="N6" s="171"/>
      <c r="O6" s="171"/>
      <c r="P6" s="171"/>
      <c r="Q6" s="171"/>
      <c r="R6" s="171"/>
      <c r="S6" s="171"/>
      <c r="T6" s="171"/>
      <c r="U6" s="171"/>
      <c r="V6" s="171"/>
      <c r="W6" s="171"/>
      <c r="X6" s="171"/>
      <c r="Y6" s="171"/>
      <c r="Z6" s="171"/>
      <c r="AA6" s="171"/>
      <c r="AB6" s="171"/>
      <c r="AC6" s="172"/>
    </row>
    <row r="7" spans="1:40" ht="17.5">
      <c r="M7" s="173"/>
      <c r="N7" s="174"/>
      <c r="O7" s="174"/>
      <c r="P7" s="174"/>
      <c r="Q7" s="174"/>
      <c r="R7" s="174"/>
      <c r="S7" s="174"/>
      <c r="T7" s="174"/>
      <c r="U7" s="174"/>
      <c r="V7" s="174"/>
      <c r="W7" s="174"/>
      <c r="X7" s="174"/>
      <c r="Y7" s="174"/>
      <c r="Z7" s="174"/>
      <c r="AA7" s="174"/>
      <c r="AB7" s="174"/>
      <c r="AC7" s="175"/>
    </row>
    <row r="8" spans="1:40" ht="17.5"/>
    <row r="9" spans="1:40" ht="17.5"/>
    <row r="10" spans="1:40" ht="17.5"/>
    <row r="11" spans="1:40" ht="33">
      <c r="A11" s="163" t="s">
        <v>214</v>
      </c>
      <c r="B11" s="163"/>
      <c r="C11" s="163"/>
      <c r="D11" s="163"/>
      <c r="E11" s="163"/>
      <c r="F11" s="163"/>
      <c r="G11" s="163"/>
      <c r="H11" s="163"/>
      <c r="I11" s="163"/>
      <c r="J11" s="163"/>
      <c r="K11" s="163"/>
      <c r="L11" s="163"/>
      <c r="M11" s="163"/>
      <c r="N11" s="163"/>
      <c r="O11" s="163"/>
      <c r="P11" s="163"/>
      <c r="Q11" s="163"/>
      <c r="R11" s="163"/>
      <c r="S11" s="163"/>
      <c r="T11" s="163"/>
      <c r="U11" s="163"/>
      <c r="V11" s="163"/>
      <c r="W11" s="163"/>
      <c r="X11" s="163"/>
      <c r="Y11" s="163"/>
      <c r="Z11" s="163"/>
      <c r="AA11" s="163"/>
      <c r="AB11" s="163"/>
      <c r="AC11" s="163"/>
      <c r="AD11" s="163"/>
      <c r="AE11" s="163"/>
      <c r="AF11" s="163"/>
      <c r="AG11" s="163"/>
      <c r="AH11" s="163"/>
      <c r="AI11" s="163"/>
      <c r="AJ11" s="163"/>
      <c r="AK11" s="163"/>
      <c r="AL11" s="163"/>
      <c r="AM11" s="163"/>
      <c r="AN11" s="163"/>
    </row>
    <row r="12" spans="1:40" ht="17.5">
      <c r="J12" s="30"/>
      <c r="K12" s="31"/>
      <c r="L12" s="31"/>
      <c r="M12" s="176" t="s">
        <v>73</v>
      </c>
      <c r="N12" s="176"/>
      <c r="O12" s="176"/>
      <c r="P12" s="176"/>
      <c r="Q12" s="176"/>
      <c r="R12" s="177" t="s">
        <v>73</v>
      </c>
      <c r="S12" s="177"/>
      <c r="T12" s="177"/>
      <c r="U12" s="177"/>
      <c r="V12" s="177"/>
      <c r="W12" s="177"/>
      <c r="X12" s="31" t="s">
        <v>73</v>
      </c>
      <c r="Y12" s="31" t="s">
        <v>73</v>
      </c>
      <c r="Z12" s="31" t="s">
        <v>73</v>
      </c>
      <c r="AA12" s="176" t="s">
        <v>73</v>
      </c>
      <c r="AB12" s="176"/>
      <c r="AC12" s="176"/>
      <c r="AD12" s="176"/>
      <c r="AE12" s="176"/>
      <c r="AF12" s="176"/>
      <c r="AG12" s="176"/>
      <c r="AH12" s="28" t="s">
        <v>73</v>
      </c>
      <c r="AI12" s="32" t="s">
        <v>73</v>
      </c>
    </row>
    <row r="13" spans="1:40" s="33" customFormat="1" ht="15">
      <c r="J13" s="34"/>
      <c r="K13" s="35"/>
      <c r="L13" s="35"/>
      <c r="M13" s="35"/>
      <c r="N13" s="35"/>
      <c r="O13" s="35"/>
      <c r="P13" s="35"/>
      <c r="Q13" s="35"/>
      <c r="R13" s="36"/>
      <c r="S13" s="165"/>
      <c r="T13" s="165"/>
      <c r="U13" s="165"/>
      <c r="V13" s="165"/>
      <c r="W13" s="166"/>
      <c r="X13" s="166"/>
      <c r="Y13" s="35"/>
      <c r="Z13" s="35"/>
      <c r="AA13" s="35"/>
      <c r="AB13" s="35"/>
      <c r="AC13" s="35"/>
      <c r="AD13" s="35"/>
      <c r="AE13" s="35"/>
      <c r="AF13" s="35"/>
      <c r="AG13" s="35"/>
    </row>
    <row r="14" spans="1:40" ht="23">
      <c r="A14" s="162" t="s">
        <v>181</v>
      </c>
      <c r="B14" s="162"/>
      <c r="C14" s="162"/>
      <c r="D14" s="162"/>
      <c r="E14" s="162"/>
      <c r="F14" s="162"/>
      <c r="G14" s="162"/>
      <c r="H14" s="162"/>
      <c r="I14" s="162"/>
      <c r="J14" s="162"/>
      <c r="K14" s="162"/>
      <c r="L14" s="162"/>
      <c r="M14" s="162"/>
      <c r="N14" s="162"/>
      <c r="O14" s="162"/>
      <c r="P14" s="162"/>
      <c r="Q14" s="162"/>
      <c r="R14" s="162"/>
      <c r="S14" s="162"/>
      <c r="T14" s="162"/>
      <c r="U14" s="162"/>
      <c r="V14" s="162"/>
      <c r="W14" s="162"/>
      <c r="X14" s="162"/>
      <c r="Y14" s="162"/>
      <c r="Z14" s="162"/>
      <c r="AA14" s="162"/>
      <c r="AB14" s="162"/>
      <c r="AC14" s="162"/>
      <c r="AD14" s="162"/>
      <c r="AE14" s="162"/>
      <c r="AF14" s="162"/>
      <c r="AG14" s="162"/>
      <c r="AH14" s="162"/>
      <c r="AI14" s="162"/>
      <c r="AJ14" s="162"/>
      <c r="AK14" s="162"/>
      <c r="AL14" s="162"/>
      <c r="AM14" s="162"/>
      <c r="AN14" s="162"/>
    </row>
    <row r="15" spans="1:40" ht="17.5">
      <c r="J15" s="37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</row>
    <row r="16" spans="1:40" ht="33">
      <c r="A16" s="163"/>
      <c r="B16" s="163"/>
      <c r="C16" s="163"/>
      <c r="D16" s="163"/>
      <c r="E16" s="163"/>
      <c r="F16" s="163"/>
      <c r="G16" s="163"/>
      <c r="H16" s="163"/>
      <c r="I16" s="163"/>
      <c r="J16" s="163"/>
      <c r="K16" s="163"/>
      <c r="L16" s="163"/>
      <c r="M16" s="163"/>
      <c r="N16" s="163"/>
      <c r="O16" s="163"/>
      <c r="P16" s="163"/>
      <c r="Q16" s="163"/>
      <c r="R16" s="163"/>
      <c r="S16" s="163"/>
      <c r="T16" s="163"/>
      <c r="U16" s="163"/>
      <c r="V16" s="163"/>
      <c r="W16" s="163"/>
      <c r="X16" s="163"/>
      <c r="Y16" s="163"/>
      <c r="Z16" s="163"/>
      <c r="AA16" s="163"/>
      <c r="AB16" s="163"/>
      <c r="AC16" s="163"/>
      <c r="AD16" s="163"/>
      <c r="AE16" s="163"/>
      <c r="AF16" s="163"/>
      <c r="AG16" s="163"/>
      <c r="AH16" s="163"/>
      <c r="AI16" s="163"/>
      <c r="AJ16" s="163"/>
      <c r="AK16" s="163"/>
      <c r="AL16" s="163"/>
      <c r="AM16" s="163"/>
      <c r="AN16" s="163"/>
    </row>
    <row r="17" spans="6:39" ht="17.5">
      <c r="J17" s="37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</row>
    <row r="18" spans="6:39" ht="17.5">
      <c r="J18" s="37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</row>
    <row r="19" spans="6:39" ht="17.5">
      <c r="J19" s="37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</row>
    <row r="20" spans="6:39" ht="17.5">
      <c r="J20" s="37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</row>
    <row r="21" spans="6:39" ht="17.5">
      <c r="J21" s="37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</row>
    <row r="22" spans="6:39" ht="17.5">
      <c r="J22" s="37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</row>
    <row r="23" spans="6:39" ht="17.5">
      <c r="F23" s="39"/>
      <c r="G23" s="40"/>
      <c r="H23" s="39"/>
      <c r="I23" s="40"/>
      <c r="J23" s="41"/>
      <c r="K23" s="41"/>
      <c r="L23" s="41"/>
      <c r="M23" s="41"/>
      <c r="O23" s="42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</row>
    <row r="24" spans="6:39" ht="17.5">
      <c r="F24" s="39"/>
      <c r="G24" s="41"/>
      <c r="H24" s="39"/>
      <c r="I24" s="41"/>
      <c r="J24" s="41"/>
      <c r="K24" s="41"/>
      <c r="L24" s="41"/>
      <c r="M24" s="41"/>
      <c r="O24" s="164"/>
      <c r="P24" s="164"/>
      <c r="Q24" s="164"/>
      <c r="R24" s="164"/>
      <c r="S24" s="164"/>
      <c r="T24" s="164"/>
      <c r="U24" s="164"/>
      <c r="V24" s="164"/>
      <c r="W24" s="164"/>
      <c r="X24" s="164"/>
      <c r="Y24" s="164"/>
      <c r="Z24" s="164"/>
      <c r="AA24" s="164"/>
      <c r="AB24" s="164"/>
      <c r="AE24" s="44"/>
    </row>
    <row r="25" spans="6:39" ht="21">
      <c r="F25" s="45"/>
      <c r="G25" s="45"/>
      <c r="H25" s="45"/>
      <c r="I25" s="45"/>
      <c r="J25" s="45"/>
      <c r="K25" s="45"/>
      <c r="V25" s="159"/>
      <c r="W25" s="160"/>
      <c r="X25" s="160"/>
      <c r="Y25" s="160"/>
      <c r="Z25" s="160"/>
      <c r="AA25" s="160"/>
      <c r="AB25" s="160"/>
      <c r="AC25" s="160"/>
      <c r="AD25" s="160"/>
      <c r="AE25" s="160"/>
      <c r="AF25" s="160"/>
      <c r="AG25" s="160"/>
      <c r="AH25" s="160"/>
      <c r="AI25" s="160"/>
      <c r="AJ25" s="160"/>
      <c r="AK25" s="160"/>
      <c r="AL25" s="46"/>
      <c r="AM25" s="46"/>
    </row>
    <row r="26" spans="6:39" s="47" customFormat="1" ht="37.5" customHeight="1">
      <c r="V26" s="48"/>
      <c r="W26" s="49"/>
      <c r="X26" s="49"/>
      <c r="Y26" s="49"/>
      <c r="AA26" s="50"/>
      <c r="AB26" s="50"/>
      <c r="AC26" s="50"/>
      <c r="AD26" s="51"/>
      <c r="AE26" s="51"/>
      <c r="AF26" s="51"/>
      <c r="AG26" s="51"/>
      <c r="AH26" s="51"/>
      <c r="AI26" s="51"/>
      <c r="AJ26" s="51"/>
      <c r="AK26" s="51"/>
      <c r="AL26" s="51"/>
    </row>
    <row r="27" spans="6:39" ht="22">
      <c r="V27" s="161"/>
      <c r="W27" s="160"/>
      <c r="X27" s="160"/>
      <c r="Y27" s="160"/>
      <c r="Z27" s="160"/>
      <c r="AA27" s="160"/>
      <c r="AB27" s="160"/>
      <c r="AC27" s="160"/>
      <c r="AD27" s="160"/>
      <c r="AE27" s="160"/>
      <c r="AF27" s="160"/>
      <c r="AG27" s="160"/>
      <c r="AH27" s="160"/>
      <c r="AI27" s="160"/>
      <c r="AJ27" s="160"/>
      <c r="AK27" s="160"/>
      <c r="AL27" s="46"/>
      <c r="AM27" s="46"/>
    </row>
    <row r="28" spans="6:39" ht="17.5"/>
    <row r="30" spans="6:39" ht="21">
      <c r="W30" s="159"/>
      <c r="X30" s="160"/>
      <c r="Y30" s="160"/>
      <c r="Z30" s="160"/>
      <c r="AA30" s="160"/>
      <c r="AB30" s="160"/>
      <c r="AC30" s="160"/>
      <c r="AD30" s="160"/>
      <c r="AE30" s="160"/>
      <c r="AF30" s="160"/>
      <c r="AG30" s="160"/>
      <c r="AH30" s="160"/>
      <c r="AI30" s="160"/>
      <c r="AJ30" s="160"/>
      <c r="AK30" s="160"/>
      <c r="AL30" s="160"/>
    </row>
    <row r="31" spans="6:39" ht="21">
      <c r="W31" s="159"/>
      <c r="X31" s="160"/>
      <c r="Y31" s="160"/>
      <c r="Z31" s="160"/>
      <c r="AA31" s="160"/>
      <c r="AB31" s="160"/>
      <c r="AC31" s="160"/>
      <c r="AD31" s="160"/>
      <c r="AE31" s="160"/>
      <c r="AF31" s="160"/>
      <c r="AG31" s="160"/>
      <c r="AH31" s="160"/>
      <c r="AI31" s="160"/>
      <c r="AJ31" s="160"/>
      <c r="AK31" s="160"/>
      <c r="AL31" s="160"/>
    </row>
    <row r="32" spans="6:39" ht="22">
      <c r="W32" s="161"/>
      <c r="X32" s="160"/>
      <c r="Y32" s="160"/>
      <c r="Z32" s="160"/>
      <c r="AA32" s="160"/>
      <c r="AB32" s="160"/>
      <c r="AC32" s="160"/>
      <c r="AD32" s="160"/>
      <c r="AE32" s="160"/>
      <c r="AF32" s="160"/>
      <c r="AG32" s="160"/>
      <c r="AH32" s="160"/>
      <c r="AI32" s="160"/>
      <c r="AJ32" s="160"/>
      <c r="AK32" s="160"/>
      <c r="AL32" s="160"/>
    </row>
  </sheetData>
  <mergeCells count="15">
    <mergeCell ref="S13:V13"/>
    <mergeCell ref="W13:X13"/>
    <mergeCell ref="M5:AC7"/>
    <mergeCell ref="A11:AN11"/>
    <mergeCell ref="M12:Q12"/>
    <mergeCell ref="R12:W12"/>
    <mergeCell ref="AA12:AG12"/>
    <mergeCell ref="W31:AL31"/>
    <mergeCell ref="W32:AL32"/>
    <mergeCell ref="A14:AN14"/>
    <mergeCell ref="A16:AN16"/>
    <mergeCell ref="O24:AB24"/>
    <mergeCell ref="V25:AK25"/>
    <mergeCell ref="V27:AK27"/>
    <mergeCell ref="W30:AL30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68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55"/>
  <sheetViews>
    <sheetView view="pageBreakPreview" zoomScaleNormal="100" zoomScaleSheetLayoutView="100" workbookViewId="0">
      <selection activeCell="B2" sqref="B2"/>
    </sheetView>
  </sheetViews>
  <sheetFormatPr defaultColWidth="9" defaultRowHeight="17"/>
  <cols>
    <col min="1" max="1" width="0.6640625" style="52" customWidth="1"/>
    <col min="2" max="2" width="3.25" style="52" customWidth="1"/>
    <col min="3" max="3" width="7.75" style="52" customWidth="1"/>
    <col min="4" max="4" width="3" style="52" customWidth="1"/>
    <col min="5" max="5" width="25" style="52" customWidth="1"/>
    <col min="6" max="6" width="17.33203125" style="55" customWidth="1"/>
    <col min="7" max="7" width="1" style="55" customWidth="1"/>
    <col min="8" max="8" width="45.1640625" style="52" customWidth="1"/>
    <col min="9" max="9" width="8.83203125" style="52" customWidth="1"/>
    <col min="10" max="10" width="19.33203125" style="136" customWidth="1"/>
    <col min="11" max="11" width="18.33203125" style="52" hidden="1" customWidth="1"/>
    <col min="12" max="12" width="7.83203125" style="52" customWidth="1"/>
    <col min="13" max="13" width="7.83203125" style="53" customWidth="1"/>
    <col min="14" max="14" width="14.33203125" style="52" bestFit="1" customWidth="1"/>
    <col min="15" max="16384" width="9" style="52"/>
  </cols>
  <sheetData>
    <row r="1" spans="1:14" ht="24" customHeight="1">
      <c r="B1" s="216" t="s">
        <v>75</v>
      </c>
      <c r="C1" s="216"/>
      <c r="D1" s="216"/>
      <c r="E1" s="216"/>
      <c r="F1" s="216"/>
      <c r="G1" s="216"/>
      <c r="H1" s="216"/>
      <c r="I1" s="216"/>
      <c r="J1" s="216"/>
    </row>
    <row r="2" spans="1:14" ht="22" customHeight="1">
      <c r="B2" s="54" t="s">
        <v>210</v>
      </c>
      <c r="J2" s="56"/>
    </row>
    <row r="3" spans="1:14" ht="12" customHeight="1">
      <c r="B3" s="217" t="s">
        <v>76</v>
      </c>
      <c r="C3" s="217"/>
      <c r="D3" s="217"/>
      <c r="E3" s="217"/>
      <c r="F3" s="218" t="s">
        <v>74</v>
      </c>
      <c r="G3" s="57"/>
      <c r="H3" s="220" t="s">
        <v>77</v>
      </c>
      <c r="I3" s="220" t="s">
        <v>78</v>
      </c>
      <c r="J3" s="220" t="s">
        <v>79</v>
      </c>
    </row>
    <row r="4" spans="1:14" ht="15.75" customHeight="1">
      <c r="B4" s="217"/>
      <c r="C4" s="217"/>
      <c r="D4" s="217"/>
      <c r="E4" s="217"/>
      <c r="F4" s="219"/>
      <c r="G4" s="58"/>
      <c r="H4" s="221"/>
      <c r="I4" s="221"/>
      <c r="J4" s="221"/>
    </row>
    <row r="5" spans="1:14" ht="17.25" customHeight="1">
      <c r="B5" s="59"/>
      <c r="C5" s="210" t="s">
        <v>80</v>
      </c>
      <c r="D5" s="211"/>
      <c r="E5" s="212"/>
      <c r="F5" s="60"/>
      <c r="G5" s="61"/>
      <c r="H5" s="62"/>
      <c r="I5" s="63"/>
      <c r="J5" s="62"/>
      <c r="M5" s="64"/>
    </row>
    <row r="6" spans="1:14" ht="14" customHeight="1">
      <c r="A6" s="65" t="s">
        <v>81</v>
      </c>
      <c r="B6" s="198" t="s">
        <v>82</v>
      </c>
      <c r="C6" s="213" t="s">
        <v>83</v>
      </c>
      <c r="D6" s="202" t="s">
        <v>84</v>
      </c>
      <c r="E6" s="202"/>
      <c r="F6" s="67"/>
      <c r="G6" s="67"/>
      <c r="H6" s="68"/>
      <c r="I6" s="69"/>
      <c r="J6" s="66"/>
      <c r="K6" s="70"/>
      <c r="M6" s="71"/>
    </row>
    <row r="7" spans="1:14" ht="14" customHeight="1">
      <c r="A7" s="65"/>
      <c r="B7" s="199"/>
      <c r="C7" s="214"/>
      <c r="D7" s="188" t="s">
        <v>85</v>
      </c>
      <c r="E7" s="188"/>
      <c r="F7" s="73"/>
      <c r="G7" s="73"/>
      <c r="H7" s="74"/>
      <c r="I7" s="75"/>
      <c r="J7" s="72"/>
      <c r="M7" s="71"/>
    </row>
    <row r="8" spans="1:14" ht="14" customHeight="1">
      <c r="A8" s="65" t="s">
        <v>86</v>
      </c>
      <c r="B8" s="199"/>
      <c r="C8" s="213" t="s">
        <v>87</v>
      </c>
      <c r="D8" s="202" t="s">
        <v>88</v>
      </c>
      <c r="E8" s="202"/>
      <c r="F8" s="67"/>
      <c r="G8" s="67"/>
      <c r="H8" s="68"/>
      <c r="I8" s="76"/>
      <c r="J8" s="66"/>
    </row>
    <row r="9" spans="1:14" ht="14" customHeight="1">
      <c r="A9" s="65"/>
      <c r="B9" s="199"/>
      <c r="C9" s="215"/>
      <c r="D9" s="188" t="s">
        <v>89</v>
      </c>
      <c r="E9" s="188"/>
      <c r="F9" s="73"/>
      <c r="G9" s="73"/>
      <c r="H9" s="74" t="s">
        <v>90</v>
      </c>
      <c r="I9" s="77">
        <v>0.14699999999999999</v>
      </c>
      <c r="J9" s="72"/>
    </row>
    <row r="10" spans="1:14" ht="14" customHeight="1">
      <c r="A10" s="65"/>
      <c r="B10" s="199"/>
      <c r="C10" s="214"/>
      <c r="D10" s="188" t="s">
        <v>85</v>
      </c>
      <c r="E10" s="188"/>
      <c r="F10" s="73"/>
      <c r="G10" s="73"/>
      <c r="H10" s="74"/>
      <c r="I10" s="77"/>
      <c r="J10" s="72"/>
    </row>
    <row r="11" spans="1:14" ht="14" customHeight="1">
      <c r="A11" s="65"/>
      <c r="B11" s="199"/>
      <c r="C11" s="198" t="s">
        <v>91</v>
      </c>
      <c r="D11" s="201" t="s">
        <v>92</v>
      </c>
      <c r="E11" s="202"/>
      <c r="F11" s="67"/>
      <c r="G11" s="67"/>
      <c r="H11" s="68"/>
      <c r="I11" s="76"/>
      <c r="J11" s="66"/>
    </row>
    <row r="12" spans="1:14" ht="14" customHeight="1">
      <c r="A12" s="65" t="s">
        <v>93</v>
      </c>
      <c r="B12" s="199"/>
      <c r="C12" s="199"/>
      <c r="D12" s="184" t="s">
        <v>94</v>
      </c>
      <c r="E12" s="188"/>
      <c r="F12" s="73"/>
      <c r="G12" s="73"/>
      <c r="H12" s="74" t="s">
        <v>95</v>
      </c>
      <c r="I12" s="78">
        <v>3.56E-2</v>
      </c>
      <c r="J12" s="72"/>
      <c r="M12" s="79"/>
      <c r="N12" s="80"/>
    </row>
    <row r="13" spans="1:14" ht="14" customHeight="1">
      <c r="A13" s="65" t="s">
        <v>96</v>
      </c>
      <c r="B13" s="199"/>
      <c r="C13" s="199"/>
      <c r="D13" s="184" t="s">
        <v>97</v>
      </c>
      <c r="E13" s="188"/>
      <c r="F13" s="73"/>
      <c r="G13" s="73"/>
      <c r="H13" s="74" t="s">
        <v>95</v>
      </c>
      <c r="I13" s="77">
        <v>1.2999999999999999E-2</v>
      </c>
      <c r="J13" s="72"/>
      <c r="M13" s="79"/>
      <c r="N13" s="80"/>
    </row>
    <row r="14" spans="1:14" ht="14" customHeight="1">
      <c r="A14" s="65" t="s">
        <v>98</v>
      </c>
      <c r="B14" s="199"/>
      <c r="C14" s="199"/>
      <c r="D14" s="184" t="s">
        <v>99</v>
      </c>
      <c r="E14" s="188"/>
      <c r="F14" s="73"/>
      <c r="G14" s="73"/>
      <c r="H14" s="74" t="s">
        <v>90</v>
      </c>
      <c r="I14" s="75">
        <v>3.5950000000000003E-2</v>
      </c>
      <c r="J14" s="72"/>
      <c r="M14" s="79"/>
      <c r="N14" s="80"/>
    </row>
    <row r="15" spans="1:14" ht="14" customHeight="1">
      <c r="A15" s="65" t="s">
        <v>100</v>
      </c>
      <c r="B15" s="199"/>
      <c r="C15" s="199"/>
      <c r="D15" s="184" t="s">
        <v>101</v>
      </c>
      <c r="E15" s="188"/>
      <c r="F15" s="73"/>
      <c r="G15" s="73"/>
      <c r="H15" s="74" t="s">
        <v>102</v>
      </c>
      <c r="I15" s="78">
        <v>0.13139999999999999</v>
      </c>
      <c r="J15" s="72"/>
      <c r="M15" s="79"/>
      <c r="N15" s="80"/>
    </row>
    <row r="16" spans="1:14" ht="14" customHeight="1">
      <c r="A16" s="65" t="s">
        <v>103</v>
      </c>
      <c r="B16" s="199"/>
      <c r="C16" s="199"/>
      <c r="D16" s="184" t="s">
        <v>104</v>
      </c>
      <c r="E16" s="188"/>
      <c r="F16" s="73"/>
      <c r="G16" s="73"/>
      <c r="H16" s="74" t="s">
        <v>90</v>
      </c>
      <c r="I16" s="77">
        <v>4.7500000000000001E-2</v>
      </c>
      <c r="J16" s="72"/>
      <c r="M16" s="79"/>
      <c r="N16" s="80"/>
    </row>
    <row r="17" spans="1:14" ht="14" customHeight="1">
      <c r="A17" s="65" t="s">
        <v>105</v>
      </c>
      <c r="B17" s="199"/>
      <c r="C17" s="199"/>
      <c r="D17" s="184" t="s">
        <v>106</v>
      </c>
      <c r="E17" s="188"/>
      <c r="F17" s="73"/>
      <c r="G17" s="73"/>
      <c r="H17" s="74" t="s">
        <v>90</v>
      </c>
      <c r="I17" s="77">
        <v>2.3E-2</v>
      </c>
      <c r="J17" s="72"/>
      <c r="M17" s="79"/>
      <c r="N17" s="80"/>
    </row>
    <row r="18" spans="1:14" ht="14" customHeight="1">
      <c r="A18" s="65" t="s">
        <v>107</v>
      </c>
      <c r="B18" s="199"/>
      <c r="C18" s="199"/>
      <c r="D18" s="203" t="s">
        <v>108</v>
      </c>
      <c r="E18" s="188"/>
      <c r="F18" s="73"/>
      <c r="G18" s="73"/>
      <c r="H18" s="74" t="s">
        <v>109</v>
      </c>
      <c r="I18" s="77">
        <v>2.3699999999999999E-2</v>
      </c>
      <c r="J18" s="81"/>
    </row>
    <row r="19" spans="1:14" ht="14" customHeight="1">
      <c r="A19" s="65"/>
      <c r="B19" s="199"/>
      <c r="C19" s="199"/>
      <c r="D19" s="82"/>
      <c r="E19" s="83" t="s">
        <v>110</v>
      </c>
      <c r="F19" s="84"/>
      <c r="G19" s="84"/>
      <c r="H19" s="85" t="s">
        <v>111</v>
      </c>
      <c r="I19" s="86"/>
      <c r="J19" s="87"/>
    </row>
    <row r="20" spans="1:14" ht="14" customHeight="1">
      <c r="A20" s="65"/>
      <c r="B20" s="199"/>
      <c r="C20" s="199"/>
      <c r="D20" s="88"/>
      <c r="E20" s="83" t="s">
        <v>112</v>
      </c>
      <c r="F20" s="84"/>
      <c r="G20" s="84"/>
      <c r="H20" s="85" t="s">
        <v>113</v>
      </c>
      <c r="I20" s="86"/>
      <c r="J20" s="87"/>
    </row>
    <row r="21" spans="1:14" ht="14" customHeight="1">
      <c r="A21" s="65"/>
      <c r="B21" s="199"/>
      <c r="C21" s="199"/>
      <c r="D21" s="184" t="s">
        <v>114</v>
      </c>
      <c r="E21" s="188"/>
      <c r="F21" s="73"/>
      <c r="G21" s="73"/>
      <c r="H21" s="74" t="s">
        <v>115</v>
      </c>
      <c r="I21" s="77">
        <v>5.0000000000000001E-3</v>
      </c>
      <c r="J21" s="72"/>
      <c r="M21" s="79"/>
      <c r="N21" s="80"/>
    </row>
    <row r="22" spans="1:14" ht="14" customHeight="1">
      <c r="A22" s="65"/>
      <c r="B22" s="199"/>
      <c r="C22" s="199"/>
      <c r="D22" s="204" t="s">
        <v>116</v>
      </c>
      <c r="E22" s="205"/>
      <c r="F22" s="73"/>
      <c r="G22" s="73"/>
      <c r="H22" s="74" t="s">
        <v>117</v>
      </c>
      <c r="I22" s="90">
        <v>4.0000000000000003E-5</v>
      </c>
      <c r="J22" s="72"/>
      <c r="M22" s="79"/>
      <c r="N22" s="80"/>
    </row>
    <row r="23" spans="1:14" ht="14" customHeight="1">
      <c r="A23" s="65" t="s">
        <v>118</v>
      </c>
      <c r="B23" s="199"/>
      <c r="C23" s="199"/>
      <c r="D23" s="206" t="s">
        <v>119</v>
      </c>
      <c r="E23" s="184"/>
      <c r="F23" s="73"/>
      <c r="G23" s="73"/>
      <c r="H23" s="74" t="s">
        <v>115</v>
      </c>
      <c r="I23" s="75">
        <v>6.8000000000000005E-4</v>
      </c>
      <c r="J23" s="72"/>
      <c r="M23" s="79"/>
      <c r="N23" s="80"/>
    </row>
    <row r="24" spans="1:14" ht="13.5" customHeight="1">
      <c r="A24" s="65"/>
      <c r="B24" s="199"/>
      <c r="C24" s="199"/>
      <c r="D24" s="207" t="s">
        <v>120</v>
      </c>
      <c r="E24" s="208"/>
      <c r="F24" s="73"/>
      <c r="G24" s="73"/>
      <c r="H24" s="74" t="s">
        <v>115</v>
      </c>
      <c r="I24" s="77">
        <v>6.9999999999999999E-4</v>
      </c>
      <c r="J24" s="72"/>
      <c r="M24" s="79"/>
      <c r="N24" s="80"/>
    </row>
    <row r="25" spans="1:14" ht="14" customHeight="1">
      <c r="A25" s="65" t="s">
        <v>121</v>
      </c>
      <c r="B25" s="199"/>
      <c r="C25" s="199"/>
      <c r="D25" s="204" t="s">
        <v>122</v>
      </c>
      <c r="E25" s="205"/>
      <c r="F25" s="73"/>
      <c r="G25" s="73"/>
      <c r="H25" s="74" t="s">
        <v>123</v>
      </c>
      <c r="I25" s="77">
        <v>5.7000000000000002E-2</v>
      </c>
      <c r="J25" s="72"/>
      <c r="M25" s="79"/>
      <c r="N25" s="80"/>
    </row>
    <row r="26" spans="1:14" ht="14" customHeight="1">
      <c r="A26" s="65" t="s">
        <v>121</v>
      </c>
      <c r="B26" s="199"/>
      <c r="C26" s="199"/>
      <c r="D26" s="206" t="s">
        <v>179</v>
      </c>
      <c r="E26" s="184"/>
      <c r="F26" s="73"/>
      <c r="G26" s="73"/>
      <c r="H26" s="74" t="s">
        <v>123</v>
      </c>
      <c r="I26" s="75">
        <v>6.0000000000000002E-5</v>
      </c>
      <c r="J26" s="72"/>
      <c r="M26" s="79"/>
      <c r="N26" s="80"/>
    </row>
    <row r="27" spans="1:14" ht="14" customHeight="1">
      <c r="A27" s="65" t="s">
        <v>121</v>
      </c>
      <c r="B27" s="199"/>
      <c r="C27" s="199"/>
      <c r="D27" s="206" t="s">
        <v>180</v>
      </c>
      <c r="E27" s="184"/>
      <c r="F27" s="73"/>
      <c r="G27" s="73"/>
      <c r="H27" s="74" t="s">
        <v>123</v>
      </c>
      <c r="I27" s="77">
        <v>8.9999999999999998E-4</v>
      </c>
      <c r="J27" s="72"/>
      <c r="M27" s="79"/>
      <c r="N27" s="80"/>
    </row>
    <row r="28" spans="1:14" ht="14" customHeight="1">
      <c r="A28" s="65"/>
      <c r="B28" s="200"/>
      <c r="C28" s="200"/>
      <c r="D28" s="209" t="s">
        <v>85</v>
      </c>
      <c r="E28" s="204"/>
      <c r="F28" s="73"/>
      <c r="G28" s="73"/>
      <c r="H28" s="74"/>
      <c r="I28" s="77"/>
      <c r="J28" s="72"/>
      <c r="M28" s="79"/>
      <c r="N28" s="80"/>
    </row>
    <row r="29" spans="1:14" ht="14" customHeight="1">
      <c r="A29" s="65" t="s">
        <v>124</v>
      </c>
      <c r="B29" s="195" t="s">
        <v>82</v>
      </c>
      <c r="C29" s="195"/>
      <c r="D29" s="195"/>
      <c r="E29" s="195"/>
      <c r="F29" s="92"/>
      <c r="G29" s="92"/>
      <c r="H29" s="93" t="s">
        <v>125</v>
      </c>
      <c r="I29" s="94"/>
      <c r="J29" s="91"/>
    </row>
    <row r="30" spans="1:14" ht="14" customHeight="1">
      <c r="A30" s="65" t="s">
        <v>126</v>
      </c>
      <c r="B30" s="188" t="s">
        <v>127</v>
      </c>
      <c r="C30" s="188"/>
      <c r="D30" s="188"/>
      <c r="E30" s="188"/>
      <c r="F30" s="73"/>
      <c r="G30" s="73"/>
      <c r="H30" s="74" t="s">
        <v>128</v>
      </c>
      <c r="I30" s="77">
        <v>0.04</v>
      </c>
      <c r="J30" s="72"/>
      <c r="K30" s="95" t="s">
        <v>129</v>
      </c>
    </row>
    <row r="31" spans="1:14" ht="14" customHeight="1">
      <c r="A31" s="65" t="s">
        <v>130</v>
      </c>
      <c r="B31" s="188" t="s">
        <v>131</v>
      </c>
      <c r="C31" s="188"/>
      <c r="D31" s="188"/>
      <c r="E31" s="188"/>
      <c r="F31" s="96"/>
      <c r="G31" s="96"/>
      <c r="H31" s="74" t="s">
        <v>132</v>
      </c>
      <c r="I31" s="77">
        <v>0.06</v>
      </c>
      <c r="J31" s="72"/>
      <c r="K31" s="95"/>
    </row>
    <row r="32" spans="1:14" ht="14" hidden="1" customHeight="1">
      <c r="A32" s="65" t="s">
        <v>130</v>
      </c>
      <c r="B32" s="188"/>
      <c r="C32" s="188"/>
      <c r="D32" s="188"/>
      <c r="E32" s="188"/>
      <c r="F32" s="96"/>
      <c r="G32" s="96"/>
      <c r="H32" s="74"/>
      <c r="I32" s="75"/>
      <c r="J32" s="72"/>
      <c r="K32" s="95"/>
    </row>
    <row r="33" spans="1:14" ht="14" hidden="1" customHeight="1">
      <c r="A33" s="65" t="s">
        <v>133</v>
      </c>
      <c r="B33" s="189" t="s">
        <v>134</v>
      </c>
      <c r="C33" s="190"/>
      <c r="D33" s="190"/>
      <c r="E33" s="191"/>
      <c r="F33" s="96"/>
      <c r="G33" s="97"/>
      <c r="H33" s="74" t="s">
        <v>135</v>
      </c>
      <c r="I33" s="75">
        <v>3.1199999999999999E-3</v>
      </c>
      <c r="J33" s="72"/>
    </row>
    <row r="34" spans="1:14" ht="14" hidden="1" customHeight="1">
      <c r="A34" s="65"/>
      <c r="B34" s="98"/>
      <c r="C34" s="178" t="s">
        <v>136</v>
      </c>
      <c r="D34" s="179"/>
      <c r="E34" s="180"/>
      <c r="F34" s="99"/>
      <c r="G34" s="100"/>
      <c r="H34" s="85"/>
      <c r="I34" s="77"/>
      <c r="J34" s="101"/>
    </row>
    <row r="35" spans="1:14" ht="14" hidden="1" customHeight="1">
      <c r="A35" s="65"/>
      <c r="B35" s="102"/>
      <c r="C35" s="192"/>
      <c r="D35" s="193"/>
      <c r="E35" s="194"/>
      <c r="F35" s="99"/>
      <c r="G35" s="100"/>
      <c r="H35" s="103"/>
      <c r="I35" s="104"/>
      <c r="J35" s="101"/>
    </row>
    <row r="36" spans="1:14" ht="14" hidden="1" customHeight="1">
      <c r="A36" s="65"/>
      <c r="B36" s="105"/>
      <c r="C36" s="178"/>
      <c r="D36" s="179"/>
      <c r="E36" s="180"/>
      <c r="F36" s="99"/>
      <c r="G36" s="100"/>
      <c r="H36" s="106"/>
      <c r="I36" s="86"/>
      <c r="J36" s="101"/>
    </row>
    <row r="37" spans="1:14" ht="14" customHeight="1">
      <c r="A37" s="65" t="s">
        <v>137</v>
      </c>
      <c r="B37" s="195" t="s">
        <v>138</v>
      </c>
      <c r="C37" s="195"/>
      <c r="D37" s="195"/>
      <c r="E37" s="195"/>
      <c r="F37" s="92">
        <f>+ROUNDUP(공종별총괄표!L5+공종별총괄표!L10,-3)</f>
        <v>0</v>
      </c>
      <c r="G37" s="92"/>
      <c r="H37" s="93"/>
      <c r="I37" s="86"/>
      <c r="J37" s="91"/>
    </row>
    <row r="38" spans="1:14" ht="14.15" hidden="1" customHeight="1">
      <c r="A38" s="65" t="s">
        <v>139</v>
      </c>
      <c r="B38" s="196" t="s">
        <v>140</v>
      </c>
      <c r="C38" s="196"/>
      <c r="D38" s="196"/>
      <c r="E38" s="196"/>
      <c r="F38" s="107"/>
      <c r="G38" s="107"/>
      <c r="H38" s="74" t="s">
        <v>141</v>
      </c>
      <c r="I38" s="94"/>
      <c r="J38" s="108"/>
      <c r="M38" s="109">
        <f>+(133687.12-365.49)/133687.112</f>
        <v>0.997266138863109</v>
      </c>
      <c r="N38" s="110" t="s">
        <v>142</v>
      </c>
    </row>
    <row r="39" spans="1:14" ht="14.15" customHeight="1" thickBot="1">
      <c r="A39" s="65" t="s">
        <v>139</v>
      </c>
      <c r="B39" s="196" t="s">
        <v>143</v>
      </c>
      <c r="C39" s="196"/>
      <c r="D39" s="196"/>
      <c r="E39" s="196"/>
      <c r="F39" s="107">
        <f>+ROUNDUP(F37*I39,-3)</f>
        <v>0</v>
      </c>
      <c r="G39" s="107"/>
      <c r="H39" s="74" t="s">
        <v>144</v>
      </c>
      <c r="I39" s="111">
        <v>0.1</v>
      </c>
      <c r="J39" s="108"/>
      <c r="M39" s="109"/>
      <c r="N39" s="110"/>
    </row>
    <row r="40" spans="1:14" ht="14" customHeight="1" thickBot="1">
      <c r="A40" s="65" t="s">
        <v>145</v>
      </c>
      <c r="B40" s="197" t="s">
        <v>146</v>
      </c>
      <c r="C40" s="197"/>
      <c r="D40" s="197"/>
      <c r="E40" s="197"/>
      <c r="F40" s="113"/>
      <c r="G40" s="113"/>
      <c r="H40" s="114"/>
      <c r="I40" s="115"/>
      <c r="J40" s="112"/>
    </row>
    <row r="41" spans="1:14" ht="14" customHeight="1">
      <c r="A41" s="65" t="s">
        <v>147</v>
      </c>
      <c r="B41" s="185" t="s">
        <v>148</v>
      </c>
      <c r="C41" s="186"/>
      <c r="D41" s="186"/>
      <c r="E41" s="187"/>
      <c r="F41" s="116">
        <f>F37+F39</f>
        <v>0</v>
      </c>
      <c r="G41" s="116"/>
      <c r="H41" s="117"/>
      <c r="I41" s="118"/>
      <c r="J41" s="89"/>
    </row>
    <row r="42" spans="1:14" ht="14" hidden="1" customHeight="1">
      <c r="A42" s="65"/>
      <c r="B42" s="182" t="s">
        <v>149</v>
      </c>
      <c r="C42" s="183"/>
      <c r="D42" s="183"/>
      <c r="E42" s="184"/>
      <c r="F42" s="116"/>
      <c r="G42" s="116"/>
      <c r="H42" s="117"/>
      <c r="I42" s="119"/>
      <c r="J42" s="89"/>
    </row>
    <row r="43" spans="1:14" ht="14" hidden="1" customHeight="1">
      <c r="A43" s="65"/>
      <c r="B43" s="182" t="s">
        <v>150</v>
      </c>
      <c r="C43" s="183"/>
      <c r="D43" s="183"/>
      <c r="E43" s="184"/>
      <c r="F43" s="116"/>
      <c r="G43" s="116"/>
      <c r="H43" s="117"/>
      <c r="I43" s="119"/>
      <c r="J43" s="89"/>
    </row>
    <row r="44" spans="1:14" ht="14" hidden="1" customHeight="1">
      <c r="A44" s="65"/>
      <c r="B44" s="182" t="s">
        <v>151</v>
      </c>
      <c r="C44" s="183"/>
      <c r="D44" s="183"/>
      <c r="E44" s="184"/>
      <c r="F44" s="116"/>
      <c r="G44" s="116"/>
      <c r="H44" s="117"/>
      <c r="I44" s="119"/>
      <c r="J44" s="89"/>
    </row>
    <row r="45" spans="1:14" ht="14" hidden="1" customHeight="1">
      <c r="A45" s="65"/>
      <c r="B45" s="182" t="s">
        <v>152</v>
      </c>
      <c r="C45" s="183"/>
      <c r="D45" s="183"/>
      <c r="E45" s="184"/>
      <c r="F45" s="116"/>
      <c r="G45" s="116"/>
      <c r="H45" s="117"/>
      <c r="I45" s="119"/>
      <c r="J45" s="89"/>
    </row>
    <row r="46" spans="1:14" ht="14" hidden="1" customHeight="1">
      <c r="A46" s="65"/>
      <c r="B46" s="182" t="s">
        <v>161</v>
      </c>
      <c r="C46" s="183"/>
      <c r="D46" s="183"/>
      <c r="E46" s="184"/>
      <c r="F46" s="116"/>
      <c r="G46" s="116"/>
      <c r="H46" s="117"/>
      <c r="I46" s="119"/>
      <c r="J46" s="89"/>
    </row>
    <row r="47" spans="1:14" ht="14" hidden="1" customHeight="1">
      <c r="A47" s="65" t="s">
        <v>153</v>
      </c>
      <c r="B47" s="182" t="s">
        <v>154</v>
      </c>
      <c r="C47" s="183"/>
      <c r="D47" s="183"/>
      <c r="E47" s="184"/>
      <c r="F47" s="73"/>
      <c r="G47" s="73"/>
      <c r="H47" s="74"/>
      <c r="I47" s="75"/>
      <c r="J47" s="72"/>
    </row>
    <row r="48" spans="1:14" ht="14" hidden="1" customHeight="1">
      <c r="A48" s="65" t="s">
        <v>155</v>
      </c>
      <c r="B48" s="120"/>
      <c r="C48" s="178" t="s">
        <v>156</v>
      </c>
      <c r="D48" s="179"/>
      <c r="E48" s="180"/>
      <c r="F48" s="84"/>
      <c r="G48" s="84"/>
      <c r="H48" s="85"/>
      <c r="I48" s="104"/>
      <c r="J48" s="121"/>
    </row>
    <row r="49" spans="1:13" ht="14" hidden="1" customHeight="1">
      <c r="A49" s="65" t="s">
        <v>157</v>
      </c>
      <c r="B49" s="122"/>
      <c r="C49" s="178" t="s">
        <v>158</v>
      </c>
      <c r="D49" s="179"/>
      <c r="E49" s="180"/>
      <c r="F49" s="84"/>
      <c r="G49" s="84"/>
      <c r="H49" s="85"/>
      <c r="I49" s="104"/>
      <c r="J49" s="121"/>
    </row>
    <row r="50" spans="1:13" ht="20.25" customHeight="1">
      <c r="A50" s="65" t="s">
        <v>159</v>
      </c>
      <c r="B50" s="181" t="s">
        <v>160</v>
      </c>
      <c r="C50" s="181"/>
      <c r="D50" s="181"/>
      <c r="E50" s="181"/>
      <c r="F50" s="123">
        <f>+ROUNDDOWN(SUM(F$40:F$47),0)</f>
        <v>0</v>
      </c>
      <c r="G50" s="124"/>
      <c r="H50" s="125"/>
      <c r="I50" s="126"/>
      <c r="J50" s="127" t="s">
        <v>49</v>
      </c>
    </row>
    <row r="51" spans="1:13" ht="10.25" customHeight="1">
      <c r="B51" s="128"/>
      <c r="C51" s="128"/>
      <c r="D51" s="128"/>
      <c r="E51" s="128"/>
      <c r="F51" s="129"/>
      <c r="G51" s="129"/>
      <c r="H51" s="128"/>
      <c r="I51" s="128"/>
      <c r="J51" s="130"/>
    </row>
    <row r="52" spans="1:13" ht="10.25" customHeight="1">
      <c r="B52" s="128"/>
      <c r="C52" s="128"/>
      <c r="D52" s="128"/>
      <c r="E52" s="131"/>
      <c r="F52" s="132"/>
      <c r="G52" s="129"/>
      <c r="H52" s="128"/>
      <c r="I52" s="128"/>
      <c r="J52" s="133"/>
      <c r="L52" s="137"/>
      <c r="M52" s="138"/>
    </row>
    <row r="53" spans="1:13" ht="18.75" customHeight="1">
      <c r="B53" s="128"/>
      <c r="C53" s="128"/>
      <c r="D53" s="128"/>
      <c r="E53" s="128"/>
      <c r="F53" s="156"/>
      <c r="G53" s="129"/>
      <c r="H53" s="128"/>
      <c r="I53" s="128"/>
      <c r="J53" s="133"/>
      <c r="L53" s="133"/>
      <c r="M53" s="133"/>
    </row>
    <row r="54" spans="1:13" s="134" customFormat="1" ht="15.75" customHeight="1">
      <c r="F54" s="55">
        <f>+F50-F53</f>
        <v>0</v>
      </c>
      <c r="G54" s="55"/>
      <c r="J54" s="135"/>
      <c r="M54" s="53"/>
    </row>
    <row r="55" spans="1:13">
      <c r="F55" s="55">
        <f>F53+F54</f>
        <v>0</v>
      </c>
    </row>
  </sheetData>
  <mergeCells count="54">
    <mergeCell ref="B1:J1"/>
    <mergeCell ref="B3:E4"/>
    <mergeCell ref="F3:F4"/>
    <mergeCell ref="H3:H4"/>
    <mergeCell ref="I3:I4"/>
    <mergeCell ref="J3:J4"/>
    <mergeCell ref="C5:E5"/>
    <mergeCell ref="B6:B28"/>
    <mergeCell ref="C6:C7"/>
    <mergeCell ref="D6:E6"/>
    <mergeCell ref="D7:E7"/>
    <mergeCell ref="C8:C10"/>
    <mergeCell ref="D8:E8"/>
    <mergeCell ref="D9:E9"/>
    <mergeCell ref="D10:E10"/>
    <mergeCell ref="D27:E27"/>
    <mergeCell ref="D26:E26"/>
    <mergeCell ref="B29:E29"/>
    <mergeCell ref="C11:C28"/>
    <mergeCell ref="D11:E11"/>
    <mergeCell ref="D12:E12"/>
    <mergeCell ref="D13:E13"/>
    <mergeCell ref="D14:E14"/>
    <mergeCell ref="D15:E15"/>
    <mergeCell ref="D16:E16"/>
    <mergeCell ref="D17:E17"/>
    <mergeCell ref="D18:E18"/>
    <mergeCell ref="D21:E21"/>
    <mergeCell ref="D22:E22"/>
    <mergeCell ref="D23:E23"/>
    <mergeCell ref="D24:E24"/>
    <mergeCell ref="D25:E25"/>
    <mergeCell ref="D28:E28"/>
    <mergeCell ref="B41:E41"/>
    <mergeCell ref="B30:E30"/>
    <mergeCell ref="B31:E31"/>
    <mergeCell ref="B32:E32"/>
    <mergeCell ref="B33:E33"/>
    <mergeCell ref="C34:E34"/>
    <mergeCell ref="C35:E35"/>
    <mergeCell ref="C36:E36"/>
    <mergeCell ref="B37:E37"/>
    <mergeCell ref="B38:E38"/>
    <mergeCell ref="B39:E39"/>
    <mergeCell ref="B40:E40"/>
    <mergeCell ref="C48:E48"/>
    <mergeCell ref="C49:E49"/>
    <mergeCell ref="B50:E50"/>
    <mergeCell ref="B42:E42"/>
    <mergeCell ref="B43:E43"/>
    <mergeCell ref="B44:E44"/>
    <mergeCell ref="B45:E45"/>
    <mergeCell ref="B46:E46"/>
    <mergeCell ref="B47:E47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91" fitToHeight="0" orientation="landscape" r:id="rId1"/>
  <colBreaks count="1" manualBreakCount="1">
    <brk id="11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V28"/>
  <sheetViews>
    <sheetView view="pageBreakPreview" zoomScale="85" zoomScaleNormal="85" zoomScaleSheetLayoutView="85" workbookViewId="0">
      <selection activeCell="E14" sqref="E14"/>
    </sheetView>
  </sheetViews>
  <sheetFormatPr defaultRowHeight="17"/>
  <cols>
    <col min="1" max="1" width="32.1640625" customWidth="1"/>
    <col min="2" max="2" width="20.6640625" customWidth="1"/>
    <col min="3" max="3" width="7.6640625" customWidth="1"/>
    <col min="4" max="4" width="4.6640625" customWidth="1"/>
    <col min="5" max="5" width="15.33203125" customWidth="1"/>
    <col min="6" max="6" width="16.33203125" customWidth="1"/>
    <col min="7" max="7" width="15.33203125" customWidth="1"/>
    <col min="8" max="8" width="16.33203125" customWidth="1"/>
    <col min="9" max="9" width="15.33203125" customWidth="1"/>
    <col min="10" max="11" width="16.33203125" customWidth="1"/>
    <col min="12" max="12" width="18" customWidth="1"/>
    <col min="13" max="13" width="15.33203125" customWidth="1"/>
    <col min="14" max="16" width="2.6640625" hidden="1" customWidth="1"/>
    <col min="17" max="20" width="1.6640625" hidden="1" customWidth="1"/>
    <col min="21" max="21" width="13.6640625" style="149" bestFit="1" customWidth="1"/>
    <col min="22" max="22" width="9.1640625" style="149" bestFit="1" customWidth="1"/>
  </cols>
  <sheetData>
    <row r="1" spans="1:22" ht="30" customHeight="1">
      <c r="A1" s="225" t="s">
        <v>68</v>
      </c>
      <c r="B1" s="225"/>
      <c r="C1" s="225"/>
      <c r="D1" s="225"/>
      <c r="E1" s="225"/>
      <c r="F1" s="225"/>
      <c r="G1" s="225"/>
      <c r="H1" s="225"/>
      <c r="I1" s="225"/>
      <c r="J1" s="225"/>
      <c r="K1" s="225"/>
      <c r="L1" s="225"/>
      <c r="M1" s="225"/>
    </row>
    <row r="2" spans="1:22" ht="30" customHeight="1" thickBot="1">
      <c r="A2" s="226" t="s">
        <v>211</v>
      </c>
      <c r="B2" s="226"/>
      <c r="C2" s="226"/>
      <c r="D2" s="226"/>
      <c r="E2" s="226"/>
      <c r="F2" s="226"/>
      <c r="G2" s="226"/>
      <c r="H2" s="226"/>
      <c r="I2" s="226"/>
      <c r="J2" s="226"/>
      <c r="K2" s="226"/>
      <c r="L2" s="226"/>
      <c r="M2" s="226"/>
    </row>
    <row r="3" spans="1:22" ht="24" customHeight="1">
      <c r="A3" s="227" t="s">
        <v>0</v>
      </c>
      <c r="B3" s="229" t="s">
        <v>1</v>
      </c>
      <c r="C3" s="229" t="s">
        <v>2</v>
      </c>
      <c r="D3" s="229" t="s">
        <v>3</v>
      </c>
      <c r="E3" s="229" t="s">
        <v>4</v>
      </c>
      <c r="F3" s="229"/>
      <c r="G3" s="229" t="s">
        <v>7</v>
      </c>
      <c r="H3" s="229"/>
      <c r="I3" s="229" t="s">
        <v>8</v>
      </c>
      <c r="J3" s="229"/>
      <c r="K3" s="229" t="s">
        <v>9</v>
      </c>
      <c r="L3" s="229"/>
      <c r="M3" s="223" t="s">
        <v>10</v>
      </c>
      <c r="N3" s="222" t="s">
        <v>11</v>
      </c>
      <c r="O3" s="222" t="s">
        <v>12</v>
      </c>
      <c r="P3" s="222" t="s">
        <v>13</v>
      </c>
      <c r="Q3" s="222" t="s">
        <v>14</v>
      </c>
      <c r="R3" s="222" t="s">
        <v>15</v>
      </c>
      <c r="S3" s="222" t="s">
        <v>16</v>
      </c>
      <c r="T3" s="222" t="s">
        <v>17</v>
      </c>
    </row>
    <row r="4" spans="1:22" ht="24" customHeight="1">
      <c r="A4" s="228"/>
      <c r="B4" s="230"/>
      <c r="C4" s="230"/>
      <c r="D4" s="230"/>
      <c r="E4" s="7" t="s">
        <v>5</v>
      </c>
      <c r="F4" s="7" t="s">
        <v>6</v>
      </c>
      <c r="G4" s="7" t="s">
        <v>5</v>
      </c>
      <c r="H4" s="7" t="s">
        <v>6</v>
      </c>
      <c r="I4" s="7" t="s">
        <v>5</v>
      </c>
      <c r="J4" s="7" t="s">
        <v>6</v>
      </c>
      <c r="K4" s="7" t="s">
        <v>5</v>
      </c>
      <c r="L4" s="7" t="s">
        <v>6</v>
      </c>
      <c r="M4" s="224"/>
      <c r="N4" s="222"/>
      <c r="O4" s="222"/>
      <c r="P4" s="222"/>
      <c r="Q4" s="222"/>
      <c r="R4" s="222"/>
      <c r="S4" s="222"/>
      <c r="T4" s="222"/>
    </row>
    <row r="5" spans="1:22" s="15" customFormat="1" ht="24" customHeight="1">
      <c r="A5" s="17" t="s">
        <v>182</v>
      </c>
      <c r="B5" s="18"/>
      <c r="C5" s="18"/>
      <c r="D5" s="18">
        <v>1</v>
      </c>
      <c r="E5" s="142">
        <f>+SUM(F6:F7)</f>
        <v>0</v>
      </c>
      <c r="F5" s="142">
        <f>E5*D5</f>
        <v>0</v>
      </c>
      <c r="G5" s="142">
        <f>+SUM(H6:H7)</f>
        <v>0</v>
      </c>
      <c r="H5" s="142">
        <f>G5*D5</f>
        <v>0</v>
      </c>
      <c r="I5" s="142">
        <f>+SUM(J6:J7)</f>
        <v>0</v>
      </c>
      <c r="J5" s="142">
        <f>I5*D5</f>
        <v>0</v>
      </c>
      <c r="K5" s="143">
        <f>E5+G5+I5</f>
        <v>0</v>
      </c>
      <c r="L5" s="142">
        <f>ROUNDUP(F5+H5+J5,0)</f>
        <v>0</v>
      </c>
      <c r="M5" s="19"/>
      <c r="T5" s="16"/>
      <c r="U5" s="157"/>
      <c r="V5" s="157"/>
    </row>
    <row r="6" spans="1:22" ht="24" customHeight="1">
      <c r="A6" s="8" t="s">
        <v>69</v>
      </c>
      <c r="B6" s="9"/>
      <c r="C6" s="9" t="s">
        <v>49</v>
      </c>
      <c r="D6" s="10">
        <v>1</v>
      </c>
      <c r="E6" s="144"/>
      <c r="F6" s="144">
        <f>E6*D6</f>
        <v>0</v>
      </c>
      <c r="G6" s="144"/>
      <c r="H6" s="144">
        <f t="shared" ref="H6:H7" si="0">G6*D6</f>
        <v>0</v>
      </c>
      <c r="I6" s="144">
        <f>+ROUNDUP(+건축_공종별내역서_AI타워!L24,0)</f>
        <v>0</v>
      </c>
      <c r="J6" s="144">
        <f t="shared" ref="J6:J7" si="1">I6*D6</f>
        <v>0</v>
      </c>
      <c r="K6" s="144">
        <f t="shared" ref="K6:L6" si="2">E6+G6+I6</f>
        <v>0</v>
      </c>
      <c r="L6" s="144">
        <f t="shared" si="2"/>
        <v>0</v>
      </c>
      <c r="M6" s="11"/>
      <c r="N6" s="1" t="s">
        <v>51</v>
      </c>
      <c r="O6" s="1" t="s">
        <v>49</v>
      </c>
      <c r="P6" s="1" t="s">
        <v>50</v>
      </c>
      <c r="Q6" s="1" t="s">
        <v>49</v>
      </c>
      <c r="R6">
        <v>2</v>
      </c>
      <c r="S6" s="1" t="s">
        <v>49</v>
      </c>
      <c r="T6" s="5"/>
      <c r="V6" s="157"/>
    </row>
    <row r="7" spans="1:22" ht="24" customHeight="1">
      <c r="A7" s="8" t="s">
        <v>70</v>
      </c>
      <c r="B7" s="9"/>
      <c r="C7" s="9"/>
      <c r="D7" s="10">
        <v>1</v>
      </c>
      <c r="E7" s="144">
        <f>건축_공종별내역서_AI타워!F45</f>
        <v>0</v>
      </c>
      <c r="F7" s="144">
        <f>E7*D7</f>
        <v>0</v>
      </c>
      <c r="G7" s="144"/>
      <c r="H7" s="144">
        <f t="shared" si="0"/>
        <v>0</v>
      </c>
      <c r="I7" s="145">
        <f>건축_공종별내역서_AI타워!J45</f>
        <v>0</v>
      </c>
      <c r="J7" s="144">
        <f t="shared" si="1"/>
        <v>0</v>
      </c>
      <c r="K7" s="144">
        <f>E7+G7+I7</f>
        <v>0</v>
      </c>
      <c r="L7" s="144">
        <f>F7+H7+J7</f>
        <v>0</v>
      </c>
      <c r="M7" s="11"/>
      <c r="N7" s="1"/>
      <c r="O7" s="1"/>
      <c r="P7" s="1"/>
      <c r="Q7" s="1"/>
      <c r="S7" s="1"/>
      <c r="T7" s="5"/>
      <c r="V7" s="157"/>
    </row>
    <row r="8" spans="1:22" ht="24" customHeight="1">
      <c r="A8" s="8"/>
      <c r="B8" s="150"/>
      <c r="C8" s="150"/>
      <c r="D8" s="151"/>
      <c r="E8" s="145"/>
      <c r="F8" s="145"/>
      <c r="G8" s="145"/>
      <c r="H8" s="145"/>
      <c r="I8" s="145"/>
      <c r="J8" s="145"/>
      <c r="K8" s="145"/>
      <c r="L8" s="145"/>
      <c r="M8" s="11"/>
      <c r="N8" s="1"/>
      <c r="O8" s="1"/>
      <c r="P8" s="1"/>
      <c r="Q8" s="1"/>
      <c r="S8" s="1"/>
      <c r="T8" s="5"/>
      <c r="V8" s="157"/>
    </row>
    <row r="9" spans="1:22" ht="24" customHeight="1">
      <c r="A9" s="8"/>
      <c r="B9" s="9"/>
      <c r="C9" s="9"/>
      <c r="D9" s="10"/>
      <c r="E9" s="144"/>
      <c r="F9" s="144"/>
      <c r="G9" s="144"/>
      <c r="H9" s="144"/>
      <c r="I9" s="144"/>
      <c r="J9" s="144"/>
      <c r="K9" s="144"/>
      <c r="L9" s="144"/>
      <c r="M9" s="13"/>
      <c r="N9" s="1"/>
      <c r="O9" s="1"/>
      <c r="P9" s="1"/>
      <c r="Q9" s="1"/>
      <c r="S9" s="1"/>
      <c r="T9" s="5"/>
      <c r="V9" s="157"/>
    </row>
    <row r="10" spans="1:22" s="15" customFormat="1" ht="24" customHeight="1">
      <c r="A10" s="17" t="s">
        <v>162</v>
      </c>
      <c r="B10" s="18"/>
      <c r="C10" s="18"/>
      <c r="D10" s="18">
        <v>1</v>
      </c>
      <c r="E10" s="142">
        <f>+SUM(F11:F12)</f>
        <v>0</v>
      </c>
      <c r="F10" s="142">
        <f>E10*D10</f>
        <v>0</v>
      </c>
      <c r="G10" s="142">
        <f>+SUM(H11:H30)</f>
        <v>0</v>
      </c>
      <c r="H10" s="142">
        <f>G10*D10</f>
        <v>0</v>
      </c>
      <c r="I10" s="142">
        <f>+SUM(J11:J12)</f>
        <v>0</v>
      </c>
      <c r="J10" s="142">
        <f>I10*D10</f>
        <v>0</v>
      </c>
      <c r="K10" s="143">
        <f>E10+G10+I10</f>
        <v>0</v>
      </c>
      <c r="L10" s="142">
        <f>ROUNDUP(F10+H10+J10,0)</f>
        <v>0</v>
      </c>
      <c r="M10" s="19"/>
      <c r="T10" s="16"/>
      <c r="U10" s="157"/>
      <c r="V10" s="157"/>
    </row>
    <row r="11" spans="1:22" ht="24" customHeight="1">
      <c r="A11" s="8" t="s">
        <v>69</v>
      </c>
      <c r="B11" s="9"/>
      <c r="C11" s="9"/>
      <c r="D11" s="10">
        <v>1</v>
      </c>
      <c r="E11" s="144"/>
      <c r="F11" s="144">
        <f t="shared" ref="F11:F12" si="3">E11*D11</f>
        <v>0</v>
      </c>
      <c r="G11" s="144"/>
      <c r="H11" s="144">
        <f t="shared" ref="H11:H12" si="4">G11*D11</f>
        <v>0</v>
      </c>
      <c r="I11" s="144">
        <f>+ROUNDUP(+건축_공종별내역서_신규주차장!L24,0)</f>
        <v>0</v>
      </c>
      <c r="J11" s="144">
        <f t="shared" ref="J11:J12" si="5">I11*D11</f>
        <v>0</v>
      </c>
      <c r="K11" s="144">
        <f t="shared" ref="K11:L12" si="6">E11+G11+I11</f>
        <v>0</v>
      </c>
      <c r="L11" s="144">
        <f t="shared" si="6"/>
        <v>0</v>
      </c>
      <c r="M11" s="11"/>
      <c r="N11" s="1"/>
      <c r="O11" s="1"/>
      <c r="P11" s="1"/>
      <c r="Q11" s="1"/>
      <c r="S11" s="1"/>
      <c r="T11" s="5"/>
      <c r="V11" s="157"/>
    </row>
    <row r="12" spans="1:22" ht="24" customHeight="1">
      <c r="A12" s="8" t="s">
        <v>70</v>
      </c>
      <c r="B12" s="9"/>
      <c r="C12" s="9"/>
      <c r="D12" s="10">
        <v>1</v>
      </c>
      <c r="E12" s="144">
        <f>건축_공종별내역서_신규주차장!F45</f>
        <v>0</v>
      </c>
      <c r="F12" s="144">
        <f t="shared" si="3"/>
        <v>0</v>
      </c>
      <c r="G12" s="144"/>
      <c r="H12" s="144">
        <f t="shared" si="4"/>
        <v>0</v>
      </c>
      <c r="I12" s="144">
        <f>건축_공종별내역서_신규주차장!J45</f>
        <v>0</v>
      </c>
      <c r="J12" s="144">
        <f t="shared" si="5"/>
        <v>0</v>
      </c>
      <c r="K12" s="144">
        <f t="shared" si="6"/>
        <v>0</v>
      </c>
      <c r="L12" s="144">
        <f t="shared" si="6"/>
        <v>0</v>
      </c>
      <c r="M12" s="11"/>
      <c r="N12" s="1"/>
      <c r="O12" s="1"/>
      <c r="P12" s="1"/>
      <c r="Q12" s="1"/>
      <c r="S12" s="1"/>
      <c r="T12" s="5"/>
      <c r="V12" s="157"/>
    </row>
    <row r="13" spans="1:22" ht="24" customHeight="1">
      <c r="A13" s="8"/>
      <c r="B13" s="150"/>
      <c r="C13" s="150"/>
      <c r="D13" s="151"/>
      <c r="E13" s="145"/>
      <c r="F13" s="145"/>
      <c r="G13" s="145"/>
      <c r="H13" s="145"/>
      <c r="I13" s="145"/>
      <c r="J13" s="145"/>
      <c r="K13" s="145"/>
      <c r="L13" s="145"/>
      <c r="M13" s="11"/>
      <c r="N13" s="1"/>
      <c r="O13" s="1"/>
      <c r="P13" s="1"/>
      <c r="Q13" s="1"/>
      <c r="S13" s="1"/>
      <c r="T13" s="5"/>
      <c r="V13" s="157"/>
    </row>
    <row r="14" spans="1:22" ht="24" customHeight="1">
      <c r="A14" s="8"/>
      <c r="B14" s="150"/>
      <c r="C14" s="150"/>
      <c r="D14" s="151"/>
      <c r="E14" s="145"/>
      <c r="F14" s="145"/>
      <c r="G14" s="145"/>
      <c r="H14" s="145"/>
      <c r="I14" s="145"/>
      <c r="J14" s="145"/>
      <c r="K14" s="145"/>
      <c r="L14" s="145"/>
      <c r="M14" s="11"/>
      <c r="N14" s="1"/>
      <c r="O14" s="1"/>
      <c r="P14" s="1"/>
      <c r="Q14" s="1"/>
      <c r="S14" s="1"/>
      <c r="T14" s="5"/>
      <c r="V14" s="157"/>
    </row>
    <row r="15" spans="1:22" ht="24" customHeight="1">
      <c r="A15" s="8"/>
      <c r="B15" s="150"/>
      <c r="C15" s="150"/>
      <c r="D15" s="151"/>
      <c r="E15" s="145"/>
      <c r="F15" s="145"/>
      <c r="G15" s="145"/>
      <c r="H15" s="145"/>
      <c r="I15" s="145"/>
      <c r="J15" s="145"/>
      <c r="K15" s="145"/>
      <c r="L15" s="145"/>
      <c r="M15" s="11"/>
      <c r="N15" s="1"/>
      <c r="O15" s="1"/>
      <c r="P15" s="1"/>
      <c r="Q15" s="1"/>
      <c r="S15" s="1"/>
      <c r="T15" s="5"/>
      <c r="V15" s="157"/>
    </row>
    <row r="16" spans="1:22" ht="24" customHeight="1">
      <c r="A16" s="8"/>
      <c r="B16" s="150"/>
      <c r="C16" s="150"/>
      <c r="D16" s="151"/>
      <c r="E16" s="145"/>
      <c r="F16" s="145"/>
      <c r="G16" s="145"/>
      <c r="H16" s="145"/>
      <c r="I16" s="145"/>
      <c r="J16" s="145"/>
      <c r="K16" s="145"/>
      <c r="L16" s="145"/>
      <c r="M16" s="11"/>
      <c r="N16" s="1"/>
      <c r="O16" s="1"/>
      <c r="P16" s="1"/>
      <c r="Q16" s="1"/>
      <c r="S16" s="1"/>
      <c r="T16" s="5"/>
      <c r="V16" s="157"/>
    </row>
    <row r="17" spans="1:22" ht="24" customHeight="1">
      <c r="A17" s="8"/>
      <c r="B17" s="150"/>
      <c r="C17" s="150"/>
      <c r="D17" s="151"/>
      <c r="E17" s="145"/>
      <c r="F17" s="145"/>
      <c r="G17" s="145"/>
      <c r="H17" s="145"/>
      <c r="I17" s="145"/>
      <c r="J17" s="145"/>
      <c r="K17" s="145"/>
      <c r="L17" s="145"/>
      <c r="M17" s="11"/>
      <c r="N17" s="1"/>
      <c r="O17" s="1"/>
      <c r="P17" s="1"/>
      <c r="Q17" s="1"/>
      <c r="S17" s="1"/>
      <c r="T17" s="5"/>
      <c r="V17" s="157"/>
    </row>
    <row r="18" spans="1:22" ht="24" customHeight="1">
      <c r="A18" s="8"/>
      <c r="B18" s="150"/>
      <c r="C18" s="150"/>
      <c r="D18" s="151"/>
      <c r="E18" s="145"/>
      <c r="F18" s="145"/>
      <c r="G18" s="145"/>
      <c r="H18" s="145"/>
      <c r="I18" s="145"/>
      <c r="J18" s="145"/>
      <c r="K18" s="145"/>
      <c r="L18" s="145"/>
      <c r="M18" s="11"/>
      <c r="N18" s="1"/>
      <c r="O18" s="1"/>
      <c r="P18" s="1"/>
      <c r="Q18" s="1"/>
      <c r="S18" s="1"/>
      <c r="T18" s="5"/>
      <c r="V18" s="157"/>
    </row>
    <row r="19" spans="1:22" ht="24" customHeight="1">
      <c r="A19" s="8"/>
      <c r="B19" s="150"/>
      <c r="C19" s="150"/>
      <c r="D19" s="151"/>
      <c r="E19" s="145"/>
      <c r="F19" s="145"/>
      <c r="G19" s="145"/>
      <c r="H19" s="145"/>
      <c r="I19" s="145"/>
      <c r="J19" s="145"/>
      <c r="K19" s="145"/>
      <c r="L19" s="145"/>
      <c r="M19" s="11"/>
      <c r="N19" s="1"/>
      <c r="O19" s="1"/>
      <c r="P19" s="1"/>
      <c r="Q19" s="1"/>
      <c r="S19" s="1"/>
      <c r="T19" s="5"/>
      <c r="V19" s="157"/>
    </row>
    <row r="20" spans="1:22" ht="24" customHeight="1">
      <c r="A20" s="8"/>
      <c r="B20" s="150"/>
      <c r="C20" s="150"/>
      <c r="D20" s="151"/>
      <c r="E20" s="145"/>
      <c r="F20" s="145"/>
      <c r="G20" s="145"/>
      <c r="H20" s="145"/>
      <c r="I20" s="145"/>
      <c r="J20" s="145"/>
      <c r="K20" s="145"/>
      <c r="L20" s="145"/>
      <c r="M20" s="11"/>
      <c r="N20" s="1"/>
      <c r="O20" s="1"/>
      <c r="P20" s="1"/>
      <c r="Q20" s="1"/>
      <c r="S20" s="1"/>
      <c r="T20" s="5"/>
      <c r="V20" s="157"/>
    </row>
    <row r="21" spans="1:22" ht="24" customHeight="1">
      <c r="A21" s="8"/>
      <c r="B21" s="150"/>
      <c r="C21" s="150"/>
      <c r="D21" s="151"/>
      <c r="E21" s="145"/>
      <c r="F21" s="145"/>
      <c r="G21" s="145"/>
      <c r="H21" s="145"/>
      <c r="I21" s="145"/>
      <c r="J21" s="145"/>
      <c r="K21" s="145"/>
      <c r="L21" s="145"/>
      <c r="M21" s="11"/>
      <c r="N21" s="1"/>
      <c r="O21" s="1"/>
      <c r="P21" s="1"/>
      <c r="Q21" s="1"/>
      <c r="S21" s="1"/>
      <c r="T21" s="5"/>
      <c r="V21" s="157"/>
    </row>
    <row r="22" spans="1:22" s="15" customFormat="1" ht="24" customHeight="1">
      <c r="A22" s="8"/>
      <c r="B22" s="14"/>
      <c r="C22" s="14"/>
      <c r="D22" s="14"/>
      <c r="E22" s="144"/>
      <c r="F22" s="144"/>
      <c r="G22" s="144"/>
      <c r="H22" s="144"/>
      <c r="I22" s="144"/>
      <c r="J22" s="144"/>
      <c r="K22" s="144"/>
      <c r="L22" s="144"/>
      <c r="M22" s="11"/>
      <c r="T22" s="16"/>
      <c r="U22" s="157"/>
      <c r="V22" s="157"/>
    </row>
    <row r="23" spans="1:22" s="15" customFormat="1" ht="24" customHeight="1" thickBot="1">
      <c r="A23" s="20"/>
      <c r="B23" s="21"/>
      <c r="C23" s="21"/>
      <c r="D23" s="21"/>
      <c r="E23" s="146"/>
      <c r="F23" s="146"/>
      <c r="G23" s="146"/>
      <c r="H23" s="146"/>
      <c r="I23" s="146"/>
      <c r="J23" s="146"/>
      <c r="K23" s="146"/>
      <c r="L23" s="146"/>
      <c r="M23" s="22"/>
      <c r="T23" s="16"/>
      <c r="U23" s="157"/>
      <c r="V23" s="157"/>
    </row>
    <row r="24" spans="1:22" s="15" customFormat="1" ht="30.75" customHeight="1" thickBot="1">
      <c r="A24" s="23" t="s">
        <v>71</v>
      </c>
      <c r="B24" s="24"/>
      <c r="C24" s="24"/>
      <c r="D24" s="24"/>
      <c r="E24" s="147"/>
      <c r="F24" s="148">
        <f>+F5+F10</f>
        <v>0</v>
      </c>
      <c r="G24" s="147"/>
      <c r="H24" s="148">
        <f>+H5</f>
        <v>0</v>
      </c>
      <c r="I24" s="147"/>
      <c r="J24" s="148">
        <f>+J5+J10</f>
        <v>0</v>
      </c>
      <c r="K24" s="148"/>
      <c r="L24" s="148">
        <f>+L5+L10</f>
        <v>0</v>
      </c>
      <c r="M24" s="25"/>
      <c r="T24" s="16"/>
      <c r="U24" s="157"/>
      <c r="V24" s="157"/>
    </row>
    <row r="26" spans="1:22">
      <c r="L26" s="26"/>
    </row>
    <row r="27" spans="1:22" ht="19.5" customHeight="1">
      <c r="L27" s="27"/>
      <c r="M27" s="12"/>
    </row>
    <row r="28" spans="1:22" ht="19.5" customHeight="1">
      <c r="L28" s="27"/>
      <c r="M28" s="5"/>
    </row>
  </sheetData>
  <mergeCells count="18">
    <mergeCell ref="A1:M1"/>
    <mergeCell ref="A2:M2"/>
    <mergeCell ref="A3:A4"/>
    <mergeCell ref="B3:B4"/>
    <mergeCell ref="C3:C4"/>
    <mergeCell ref="D3:D4"/>
    <mergeCell ref="E3:F3"/>
    <mergeCell ref="G3:H3"/>
    <mergeCell ref="I3:J3"/>
    <mergeCell ref="K3:L3"/>
    <mergeCell ref="S3:S4"/>
    <mergeCell ref="T3:T4"/>
    <mergeCell ref="M3:M4"/>
    <mergeCell ref="N3:N4"/>
    <mergeCell ref="O3:O4"/>
    <mergeCell ref="P3:P4"/>
    <mergeCell ref="Q3:Q4"/>
    <mergeCell ref="R3:R4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57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pageSetUpPr fitToPage="1"/>
  </sheetPr>
  <dimension ref="A1:AX45"/>
  <sheetViews>
    <sheetView view="pageBreakPreview" zoomScaleNormal="100" zoomScaleSheetLayoutView="100" workbookViewId="0"/>
  </sheetViews>
  <sheetFormatPr defaultRowHeight="17"/>
  <cols>
    <col min="1" max="2" width="30.6640625" customWidth="1"/>
    <col min="3" max="3" width="4.6640625" customWidth="1"/>
    <col min="4" max="4" width="10" bestFit="1" customWidth="1"/>
    <col min="5" max="12" width="14.6640625" customWidth="1"/>
    <col min="13" max="13" width="12.6640625" customWidth="1"/>
    <col min="14" max="43" width="2.6640625" hidden="1" customWidth="1"/>
    <col min="44" max="44" width="10.6640625" hidden="1" customWidth="1"/>
    <col min="45" max="46" width="1.6640625" hidden="1" customWidth="1"/>
    <col min="47" max="47" width="24.6640625" hidden="1" customWidth="1"/>
    <col min="48" max="48" width="10.6640625" hidden="1" customWidth="1"/>
  </cols>
  <sheetData>
    <row r="1" spans="1:50" ht="30" customHeight="1">
      <c r="A1" s="2" t="s">
        <v>212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</row>
    <row r="2" spans="1:50" ht="30" customHeight="1">
      <c r="A2" s="231" t="s">
        <v>0</v>
      </c>
      <c r="B2" s="231" t="s">
        <v>1</v>
      </c>
      <c r="C2" s="231" t="s">
        <v>2</v>
      </c>
      <c r="D2" s="231" t="s">
        <v>3</v>
      </c>
      <c r="E2" s="231" t="s">
        <v>4</v>
      </c>
      <c r="F2" s="231"/>
      <c r="G2" s="231" t="s">
        <v>7</v>
      </c>
      <c r="H2" s="231"/>
      <c r="I2" s="231" t="s">
        <v>8</v>
      </c>
      <c r="J2" s="231"/>
      <c r="K2" s="231" t="s">
        <v>9</v>
      </c>
      <c r="L2" s="231"/>
      <c r="M2" s="231" t="s">
        <v>10</v>
      </c>
      <c r="N2" s="222" t="s">
        <v>18</v>
      </c>
      <c r="O2" s="222" t="s">
        <v>12</v>
      </c>
      <c r="P2" s="222" t="s">
        <v>19</v>
      </c>
      <c r="Q2" s="222" t="s">
        <v>11</v>
      </c>
      <c r="R2" s="222" t="s">
        <v>20</v>
      </c>
      <c r="S2" s="222" t="s">
        <v>21</v>
      </c>
      <c r="T2" s="222" t="s">
        <v>22</v>
      </c>
      <c r="U2" s="222" t="s">
        <v>23</v>
      </c>
      <c r="V2" s="222" t="s">
        <v>24</v>
      </c>
      <c r="W2" s="222" t="s">
        <v>25</v>
      </c>
      <c r="X2" s="222" t="s">
        <v>26</v>
      </c>
      <c r="Y2" s="222" t="s">
        <v>27</v>
      </c>
      <c r="Z2" s="222" t="s">
        <v>28</v>
      </c>
      <c r="AA2" s="222" t="s">
        <v>29</v>
      </c>
      <c r="AB2" s="222" t="s">
        <v>30</v>
      </c>
      <c r="AC2" s="222" t="s">
        <v>31</v>
      </c>
      <c r="AD2" s="222" t="s">
        <v>32</v>
      </c>
      <c r="AE2" s="222" t="s">
        <v>33</v>
      </c>
      <c r="AF2" s="222" t="s">
        <v>34</v>
      </c>
      <c r="AG2" s="222" t="s">
        <v>35</v>
      </c>
      <c r="AH2" s="222" t="s">
        <v>36</v>
      </c>
      <c r="AI2" s="222" t="s">
        <v>37</v>
      </c>
      <c r="AJ2" s="222" t="s">
        <v>38</v>
      </c>
      <c r="AK2" s="222" t="s">
        <v>39</v>
      </c>
      <c r="AL2" s="222" t="s">
        <v>40</v>
      </c>
      <c r="AM2" s="222" t="s">
        <v>41</v>
      </c>
      <c r="AN2" s="222" t="s">
        <v>42</v>
      </c>
      <c r="AO2" s="222" t="s">
        <v>43</v>
      </c>
      <c r="AP2" s="222" t="s">
        <v>44</v>
      </c>
      <c r="AQ2" s="222" t="s">
        <v>45</v>
      </c>
      <c r="AR2" s="222" t="s">
        <v>46</v>
      </c>
      <c r="AS2" s="222" t="s">
        <v>14</v>
      </c>
      <c r="AT2" s="222" t="s">
        <v>15</v>
      </c>
      <c r="AU2" s="222" t="s">
        <v>47</v>
      </c>
      <c r="AV2" s="222" t="s">
        <v>48</v>
      </c>
    </row>
    <row r="3" spans="1:50" ht="30" customHeight="1">
      <c r="A3" s="231"/>
      <c r="B3" s="231"/>
      <c r="C3" s="231"/>
      <c r="D3" s="231"/>
      <c r="E3" s="153" t="s">
        <v>5</v>
      </c>
      <c r="F3" s="153" t="s">
        <v>6</v>
      </c>
      <c r="G3" s="153" t="s">
        <v>5</v>
      </c>
      <c r="H3" s="153" t="s">
        <v>6</v>
      </c>
      <c r="I3" s="153" t="s">
        <v>5</v>
      </c>
      <c r="J3" s="153" t="s">
        <v>6</v>
      </c>
      <c r="K3" s="153" t="s">
        <v>5</v>
      </c>
      <c r="L3" s="153" t="s">
        <v>6</v>
      </c>
      <c r="M3" s="231"/>
      <c r="N3" s="222"/>
      <c r="O3" s="222"/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  <c r="AA3" s="222"/>
      <c r="AB3" s="222"/>
      <c r="AC3" s="222"/>
      <c r="AD3" s="222"/>
      <c r="AE3" s="222"/>
      <c r="AF3" s="222"/>
      <c r="AG3" s="222"/>
      <c r="AH3" s="222"/>
      <c r="AI3" s="222"/>
      <c r="AJ3" s="222"/>
      <c r="AK3" s="222"/>
      <c r="AL3" s="222"/>
      <c r="AM3" s="222"/>
      <c r="AN3" s="222"/>
      <c r="AO3" s="222"/>
      <c r="AP3" s="222"/>
      <c r="AQ3" s="222"/>
      <c r="AR3" s="222"/>
      <c r="AS3" s="222"/>
      <c r="AT3" s="222"/>
      <c r="AU3" s="222"/>
      <c r="AV3" s="222"/>
    </row>
    <row r="4" spans="1:50" ht="30" customHeight="1">
      <c r="A4" s="155" t="s">
        <v>57</v>
      </c>
      <c r="B4" s="155" t="s">
        <v>49</v>
      </c>
      <c r="C4" s="152"/>
      <c r="D4" s="152"/>
      <c r="E4" s="154"/>
      <c r="F4" s="154"/>
      <c r="G4" s="154"/>
      <c r="H4" s="154"/>
      <c r="I4" s="154"/>
      <c r="J4" s="154"/>
      <c r="K4" s="154"/>
      <c r="L4" s="154"/>
      <c r="M4" s="152"/>
      <c r="Q4" s="1" t="s">
        <v>58</v>
      </c>
    </row>
    <row r="5" spans="1:50" ht="30" customHeight="1">
      <c r="A5" s="155" t="s">
        <v>59</v>
      </c>
      <c r="B5" s="155" t="s">
        <v>60</v>
      </c>
      <c r="C5" s="155" t="s">
        <v>56</v>
      </c>
      <c r="D5" s="152">
        <v>1909.913</v>
      </c>
      <c r="E5" s="154"/>
      <c r="F5" s="154">
        <f t="shared" ref="F5:F12" si="0">TRUNC(E5*D5, 0)</f>
        <v>0</v>
      </c>
      <c r="G5" s="154"/>
      <c r="H5" s="154">
        <f t="shared" ref="H5:H12" si="1">TRUNC(G5*D5, 0)</f>
        <v>0</v>
      </c>
      <c r="I5" s="154"/>
      <c r="J5" s="154">
        <f t="shared" ref="J5:J12" si="2">TRUNC(I5*D5, 0)</f>
        <v>0</v>
      </c>
      <c r="K5" s="154">
        <f t="shared" ref="K5:L12" si="3">TRUNC(E5+G5+I5, 0)</f>
        <v>0</v>
      </c>
      <c r="L5" s="154">
        <f t="shared" si="3"/>
        <v>0</v>
      </c>
      <c r="M5" s="155" t="s">
        <v>49</v>
      </c>
      <c r="N5" s="1" t="s">
        <v>183</v>
      </c>
      <c r="O5" s="1" t="s">
        <v>49</v>
      </c>
      <c r="P5" s="1" t="s">
        <v>49</v>
      </c>
      <c r="Q5" s="1" t="s">
        <v>58</v>
      </c>
      <c r="R5" s="1" t="s">
        <v>53</v>
      </c>
      <c r="S5" s="1" t="s">
        <v>53</v>
      </c>
      <c r="T5" s="1" t="s">
        <v>52</v>
      </c>
      <c r="X5">
        <v>1</v>
      </c>
      <c r="AR5" s="1" t="s">
        <v>49</v>
      </c>
      <c r="AS5" s="1" t="s">
        <v>49</v>
      </c>
      <c r="AU5" s="1" t="s">
        <v>184</v>
      </c>
      <c r="AV5">
        <v>1610</v>
      </c>
    </row>
    <row r="6" spans="1:50" ht="30" customHeight="1">
      <c r="A6" s="155" t="s">
        <v>185</v>
      </c>
      <c r="B6" s="155" t="s">
        <v>186</v>
      </c>
      <c r="C6" s="155" t="s">
        <v>56</v>
      </c>
      <c r="D6" s="152">
        <v>32.026000000000003</v>
      </c>
      <c r="E6" s="154"/>
      <c r="F6" s="154">
        <f t="shared" si="0"/>
        <v>0</v>
      </c>
      <c r="G6" s="154"/>
      <c r="H6" s="154">
        <f t="shared" si="1"/>
        <v>0</v>
      </c>
      <c r="I6" s="154"/>
      <c r="J6" s="154">
        <f t="shared" si="2"/>
        <v>0</v>
      </c>
      <c r="K6" s="154">
        <f t="shared" si="3"/>
        <v>0</v>
      </c>
      <c r="L6" s="154">
        <f t="shared" si="3"/>
        <v>0</v>
      </c>
      <c r="M6" s="155" t="s">
        <v>49</v>
      </c>
      <c r="N6" s="1" t="s">
        <v>187</v>
      </c>
      <c r="O6" s="1" t="s">
        <v>49</v>
      </c>
      <c r="P6" s="1" t="s">
        <v>49</v>
      </c>
      <c r="Q6" s="1" t="s">
        <v>58</v>
      </c>
      <c r="R6" s="1" t="s">
        <v>53</v>
      </c>
      <c r="S6" s="1" t="s">
        <v>53</v>
      </c>
      <c r="T6" s="1" t="s">
        <v>52</v>
      </c>
      <c r="X6">
        <v>1</v>
      </c>
      <c r="AR6" s="1" t="s">
        <v>49</v>
      </c>
      <c r="AS6" s="1" t="s">
        <v>49</v>
      </c>
      <c r="AU6" s="1" t="s">
        <v>188</v>
      </c>
      <c r="AV6">
        <v>1611</v>
      </c>
    </row>
    <row r="7" spans="1:50" ht="30" customHeight="1">
      <c r="A7" s="155" t="s">
        <v>61</v>
      </c>
      <c r="B7" s="155" t="s">
        <v>49</v>
      </c>
      <c r="C7" s="155" t="s">
        <v>56</v>
      </c>
      <c r="D7" s="152">
        <v>49.930999999999997</v>
      </c>
      <c r="E7" s="154"/>
      <c r="F7" s="154">
        <f t="shared" si="0"/>
        <v>0</v>
      </c>
      <c r="G7" s="154"/>
      <c r="H7" s="154">
        <f t="shared" si="1"/>
        <v>0</v>
      </c>
      <c r="I7" s="154"/>
      <c r="J7" s="154">
        <f t="shared" si="2"/>
        <v>0</v>
      </c>
      <c r="K7" s="154">
        <f t="shared" si="3"/>
        <v>0</v>
      </c>
      <c r="L7" s="154">
        <f t="shared" si="3"/>
        <v>0</v>
      </c>
      <c r="M7" s="155" t="s">
        <v>49</v>
      </c>
      <c r="N7" s="1" t="s">
        <v>189</v>
      </c>
      <c r="O7" s="1" t="s">
        <v>49</v>
      </c>
      <c r="P7" s="1" t="s">
        <v>49</v>
      </c>
      <c r="Q7" s="1" t="s">
        <v>58</v>
      </c>
      <c r="R7" s="1" t="s">
        <v>53</v>
      </c>
      <c r="S7" s="1" t="s">
        <v>53</v>
      </c>
      <c r="T7" s="1" t="s">
        <v>52</v>
      </c>
      <c r="X7">
        <v>1</v>
      </c>
      <c r="AR7" s="1" t="s">
        <v>49</v>
      </c>
      <c r="AS7" s="1" t="s">
        <v>49</v>
      </c>
      <c r="AU7" s="1" t="s">
        <v>190</v>
      </c>
      <c r="AV7">
        <v>1612</v>
      </c>
    </row>
    <row r="8" spans="1:50" ht="30" customHeight="1">
      <c r="A8" s="155" t="s">
        <v>62</v>
      </c>
      <c r="B8" s="155" t="s">
        <v>191</v>
      </c>
      <c r="C8" s="155" t="s">
        <v>56</v>
      </c>
      <c r="D8" s="152">
        <v>40.225000000000001</v>
      </c>
      <c r="E8" s="154"/>
      <c r="F8" s="154">
        <f t="shared" si="0"/>
        <v>0</v>
      </c>
      <c r="G8" s="154"/>
      <c r="H8" s="154">
        <f t="shared" si="1"/>
        <v>0</v>
      </c>
      <c r="I8" s="154"/>
      <c r="J8" s="154">
        <f t="shared" si="2"/>
        <v>0</v>
      </c>
      <c r="K8" s="154">
        <f t="shared" si="3"/>
        <v>0</v>
      </c>
      <c r="L8" s="154">
        <f t="shared" si="3"/>
        <v>0</v>
      </c>
      <c r="M8" s="155" t="s">
        <v>49</v>
      </c>
      <c r="N8" s="1" t="s">
        <v>192</v>
      </c>
      <c r="O8" s="1" t="s">
        <v>49</v>
      </c>
      <c r="P8" s="1" t="s">
        <v>49</v>
      </c>
      <c r="Q8" s="1" t="s">
        <v>58</v>
      </c>
      <c r="R8" s="1" t="s">
        <v>53</v>
      </c>
      <c r="S8" s="1" t="s">
        <v>53</v>
      </c>
      <c r="T8" s="1" t="s">
        <v>52</v>
      </c>
      <c r="X8">
        <v>1</v>
      </c>
      <c r="AR8" s="1" t="s">
        <v>49</v>
      </c>
      <c r="AS8" s="1" t="s">
        <v>49</v>
      </c>
      <c r="AU8" s="1" t="s">
        <v>193</v>
      </c>
      <c r="AV8">
        <v>1613</v>
      </c>
    </row>
    <row r="9" spans="1:50" ht="30" customHeight="1">
      <c r="A9" s="155" t="s">
        <v>62</v>
      </c>
      <c r="B9" s="155" t="s">
        <v>63</v>
      </c>
      <c r="C9" s="155" t="s">
        <v>56</v>
      </c>
      <c r="D9" s="152">
        <v>630.67399999999998</v>
      </c>
      <c r="E9" s="154"/>
      <c r="F9" s="154">
        <f t="shared" si="0"/>
        <v>0</v>
      </c>
      <c r="G9" s="154"/>
      <c r="H9" s="154">
        <f t="shared" si="1"/>
        <v>0</v>
      </c>
      <c r="I9" s="154"/>
      <c r="J9" s="154">
        <f t="shared" si="2"/>
        <v>0</v>
      </c>
      <c r="K9" s="154">
        <f t="shared" si="3"/>
        <v>0</v>
      </c>
      <c r="L9" s="154">
        <f t="shared" si="3"/>
        <v>0</v>
      </c>
      <c r="M9" s="155" t="s">
        <v>49</v>
      </c>
      <c r="N9" s="1" t="s">
        <v>194</v>
      </c>
      <c r="O9" s="1" t="s">
        <v>49</v>
      </c>
      <c r="P9" s="1" t="s">
        <v>49</v>
      </c>
      <c r="Q9" s="1" t="s">
        <v>58</v>
      </c>
      <c r="R9" s="1" t="s">
        <v>53</v>
      </c>
      <c r="S9" s="1" t="s">
        <v>53</v>
      </c>
      <c r="T9" s="1" t="s">
        <v>52</v>
      </c>
      <c r="X9">
        <v>1</v>
      </c>
      <c r="AR9" s="1" t="s">
        <v>49</v>
      </c>
      <c r="AS9" s="1" t="s">
        <v>49</v>
      </c>
      <c r="AU9" s="1" t="s">
        <v>195</v>
      </c>
      <c r="AV9">
        <v>1614</v>
      </c>
      <c r="AW9">
        <v>3496.9139999999998</v>
      </c>
    </row>
    <row r="10" spans="1:50" ht="30" customHeight="1">
      <c r="A10" s="155" t="s">
        <v>64</v>
      </c>
      <c r="B10" s="155" t="s">
        <v>196</v>
      </c>
      <c r="C10" s="155" t="s">
        <v>56</v>
      </c>
      <c r="D10" s="152">
        <v>1941.91</v>
      </c>
      <c r="E10" s="154"/>
      <c r="F10" s="154">
        <f t="shared" si="0"/>
        <v>0</v>
      </c>
      <c r="G10" s="154"/>
      <c r="H10" s="154">
        <f t="shared" si="1"/>
        <v>0</v>
      </c>
      <c r="I10" s="154"/>
      <c r="J10" s="154">
        <f t="shared" si="2"/>
        <v>0</v>
      </c>
      <c r="K10" s="154">
        <f t="shared" si="3"/>
        <v>0</v>
      </c>
      <c r="L10" s="154">
        <f t="shared" si="3"/>
        <v>0</v>
      </c>
      <c r="M10" s="155" t="s">
        <v>49</v>
      </c>
      <c r="N10" s="1" t="s">
        <v>197</v>
      </c>
      <c r="O10" s="1" t="s">
        <v>49</v>
      </c>
      <c r="P10" s="1" t="s">
        <v>49</v>
      </c>
      <c r="Q10" s="1" t="s">
        <v>58</v>
      </c>
      <c r="R10" s="1" t="s">
        <v>53</v>
      </c>
      <c r="S10" s="1" t="s">
        <v>53</v>
      </c>
      <c r="T10" s="1" t="s">
        <v>52</v>
      </c>
      <c r="X10">
        <v>1</v>
      </c>
      <c r="AR10" s="1" t="s">
        <v>49</v>
      </c>
      <c r="AS10" s="1" t="s">
        <v>49</v>
      </c>
      <c r="AU10" s="1" t="s">
        <v>198</v>
      </c>
      <c r="AV10">
        <v>1618</v>
      </c>
      <c r="AW10">
        <f>SUM(D5:D9)</f>
        <v>2662.7690000000002</v>
      </c>
    </row>
    <row r="11" spans="1:50" ht="30" customHeight="1">
      <c r="A11" s="155" t="s">
        <v>65</v>
      </c>
      <c r="B11" s="155" t="s">
        <v>199</v>
      </c>
      <c r="C11" s="155" t="s">
        <v>56</v>
      </c>
      <c r="D11" s="152">
        <f>D8+D9</f>
        <v>670.899</v>
      </c>
      <c r="E11" s="154"/>
      <c r="F11" s="154">
        <f t="shared" si="0"/>
        <v>0</v>
      </c>
      <c r="G11" s="154"/>
      <c r="H11" s="154">
        <f t="shared" si="1"/>
        <v>0</v>
      </c>
      <c r="I11" s="154"/>
      <c r="J11" s="154">
        <f t="shared" si="2"/>
        <v>0</v>
      </c>
      <c r="K11" s="154">
        <f t="shared" si="3"/>
        <v>0</v>
      </c>
      <c r="L11" s="154">
        <f t="shared" si="3"/>
        <v>0</v>
      </c>
      <c r="M11" s="155" t="s">
        <v>49</v>
      </c>
      <c r="N11" s="1" t="s">
        <v>200</v>
      </c>
      <c r="O11" s="1" t="s">
        <v>49</v>
      </c>
      <c r="P11" s="1" t="s">
        <v>49</v>
      </c>
      <c r="Q11" s="1" t="s">
        <v>58</v>
      </c>
      <c r="R11" s="1" t="s">
        <v>53</v>
      </c>
      <c r="S11" s="1" t="s">
        <v>53</v>
      </c>
      <c r="T11" s="1" t="s">
        <v>52</v>
      </c>
      <c r="X11">
        <v>1</v>
      </c>
      <c r="AR11" s="1" t="s">
        <v>49</v>
      </c>
      <c r="AS11" s="1" t="s">
        <v>49</v>
      </c>
      <c r="AU11" s="1" t="s">
        <v>201</v>
      </c>
      <c r="AV11">
        <v>1619</v>
      </c>
    </row>
    <row r="12" spans="1:50" ht="30" customHeight="1">
      <c r="A12" s="155" t="s">
        <v>66</v>
      </c>
      <c r="B12" s="155" t="s">
        <v>67</v>
      </c>
      <c r="C12" s="155" t="s">
        <v>56</v>
      </c>
      <c r="D12" s="152">
        <v>49.930999999999997</v>
      </c>
      <c r="E12" s="154"/>
      <c r="F12" s="154">
        <f t="shared" si="0"/>
        <v>0</v>
      </c>
      <c r="G12" s="154"/>
      <c r="H12" s="154">
        <f t="shared" si="1"/>
        <v>0</v>
      </c>
      <c r="I12" s="154"/>
      <c r="J12" s="154">
        <f t="shared" si="2"/>
        <v>0</v>
      </c>
      <c r="K12" s="154">
        <f t="shared" si="3"/>
        <v>0</v>
      </c>
      <c r="L12" s="154">
        <f t="shared" si="3"/>
        <v>0</v>
      </c>
      <c r="M12" s="155" t="s">
        <v>49</v>
      </c>
      <c r="N12" s="1" t="s">
        <v>202</v>
      </c>
      <c r="O12" s="1" t="s">
        <v>49</v>
      </c>
      <c r="P12" s="1" t="s">
        <v>49</v>
      </c>
      <c r="Q12" s="1" t="s">
        <v>58</v>
      </c>
      <c r="R12" s="1" t="s">
        <v>53</v>
      </c>
      <c r="S12" s="1" t="s">
        <v>53</v>
      </c>
      <c r="T12" s="1" t="s">
        <v>52</v>
      </c>
      <c r="X12">
        <v>1</v>
      </c>
      <c r="AR12" s="1" t="s">
        <v>49</v>
      </c>
      <c r="AS12" s="1" t="s">
        <v>49</v>
      </c>
      <c r="AU12" s="1" t="s">
        <v>203</v>
      </c>
      <c r="AV12">
        <v>1620</v>
      </c>
      <c r="AX12">
        <f>AW9+AW10+AW26</f>
        <v>8899.6830000000009</v>
      </c>
    </row>
    <row r="13" spans="1:50" ht="30" customHeight="1">
      <c r="A13" s="155"/>
      <c r="B13" s="155"/>
      <c r="C13" s="155"/>
      <c r="D13" s="152"/>
      <c r="E13" s="154"/>
      <c r="F13" s="154"/>
      <c r="G13" s="154"/>
      <c r="H13" s="154"/>
      <c r="I13" s="154"/>
      <c r="J13" s="154"/>
      <c r="K13" s="154"/>
      <c r="L13" s="154"/>
      <c r="M13" s="155"/>
      <c r="N13" s="1"/>
      <c r="O13" s="1"/>
      <c r="P13" s="1"/>
      <c r="Q13" s="1"/>
      <c r="R13" s="1"/>
      <c r="S13" s="1"/>
      <c r="T13" s="1"/>
      <c r="AR13" s="1"/>
      <c r="AS13" s="1"/>
      <c r="AU13" s="1"/>
    </row>
    <row r="14" spans="1:50" ht="30" customHeight="1">
      <c r="A14" s="155"/>
      <c r="B14" s="155"/>
      <c r="C14" s="155"/>
      <c r="D14" s="152"/>
      <c r="E14" s="154"/>
      <c r="F14" s="154"/>
      <c r="G14" s="154"/>
      <c r="H14" s="154"/>
      <c r="I14" s="154"/>
      <c r="J14" s="154"/>
      <c r="K14" s="154"/>
      <c r="L14" s="154"/>
      <c r="M14" s="155" t="s">
        <v>49</v>
      </c>
      <c r="N14" s="1" t="s">
        <v>204</v>
      </c>
      <c r="O14" s="1" t="s">
        <v>49</v>
      </c>
      <c r="P14" s="1" t="s">
        <v>49</v>
      </c>
      <c r="Q14" s="1" t="s">
        <v>58</v>
      </c>
      <c r="R14" s="1" t="s">
        <v>53</v>
      </c>
      <c r="S14" s="1" t="s">
        <v>53</v>
      </c>
      <c r="T14" s="1" t="s">
        <v>53</v>
      </c>
      <c r="AR14" s="1" t="s">
        <v>49</v>
      </c>
      <c r="AS14" s="1" t="s">
        <v>49</v>
      </c>
      <c r="AU14" s="1" t="s">
        <v>205</v>
      </c>
      <c r="AV14">
        <v>1631</v>
      </c>
      <c r="AX14">
        <v>8899.6830000000009</v>
      </c>
    </row>
    <row r="15" spans="1:50" ht="30" customHeight="1">
      <c r="A15" s="152"/>
      <c r="B15" s="152"/>
      <c r="C15" s="152"/>
      <c r="D15" s="152"/>
      <c r="E15" s="154"/>
      <c r="F15" s="154"/>
      <c r="G15" s="154"/>
      <c r="H15" s="154"/>
      <c r="I15" s="154"/>
      <c r="J15" s="154"/>
      <c r="K15" s="154"/>
      <c r="L15" s="154"/>
      <c r="M15" s="152"/>
      <c r="Q15" s="1" t="s">
        <v>58</v>
      </c>
    </row>
    <row r="16" spans="1:50" ht="30" customHeight="1">
      <c r="A16" s="152"/>
      <c r="B16" s="152"/>
      <c r="C16" s="152"/>
      <c r="D16" s="152"/>
      <c r="E16" s="154"/>
      <c r="F16" s="154"/>
      <c r="G16" s="154"/>
      <c r="H16" s="154"/>
      <c r="I16" s="154"/>
      <c r="J16" s="154"/>
      <c r="K16" s="154"/>
      <c r="L16" s="154"/>
      <c r="M16" s="152"/>
      <c r="Q16" s="1" t="s">
        <v>58</v>
      </c>
    </row>
    <row r="17" spans="1:49" ht="30" customHeight="1">
      <c r="A17" s="152"/>
      <c r="B17" s="152"/>
      <c r="C17" s="152"/>
      <c r="D17" s="152"/>
      <c r="E17" s="154"/>
      <c r="F17" s="154"/>
      <c r="G17" s="154"/>
      <c r="H17" s="154"/>
      <c r="I17" s="154"/>
      <c r="J17" s="154"/>
      <c r="K17" s="154"/>
      <c r="L17" s="154"/>
      <c r="M17" s="152"/>
      <c r="Q17" s="1" t="s">
        <v>58</v>
      </c>
    </row>
    <row r="18" spans="1:49" ht="30" customHeight="1">
      <c r="A18" s="152"/>
      <c r="B18" s="152"/>
      <c r="C18" s="152"/>
      <c r="D18" s="152"/>
      <c r="E18" s="154"/>
      <c r="F18" s="154"/>
      <c r="G18" s="154"/>
      <c r="H18" s="154"/>
      <c r="I18" s="154"/>
      <c r="J18" s="154"/>
      <c r="K18" s="154"/>
      <c r="L18" s="154"/>
      <c r="M18" s="152"/>
      <c r="Q18" s="1" t="s">
        <v>58</v>
      </c>
    </row>
    <row r="19" spans="1:49" ht="30" customHeight="1">
      <c r="A19" s="152"/>
      <c r="B19" s="152"/>
      <c r="C19" s="152"/>
      <c r="D19" s="152"/>
      <c r="E19" s="154"/>
      <c r="F19" s="154"/>
      <c r="G19" s="154"/>
      <c r="H19" s="154"/>
      <c r="I19" s="154"/>
      <c r="J19" s="154"/>
      <c r="K19" s="154"/>
      <c r="L19" s="154"/>
      <c r="M19" s="152"/>
      <c r="Q19" s="1" t="s">
        <v>58</v>
      </c>
    </row>
    <row r="20" spans="1:49" ht="30" customHeight="1">
      <c r="A20" s="152"/>
      <c r="B20" s="152"/>
      <c r="C20" s="152"/>
      <c r="D20" s="152"/>
      <c r="E20" s="154"/>
      <c r="F20" s="154"/>
      <c r="G20" s="154"/>
      <c r="H20" s="154"/>
      <c r="I20" s="154"/>
      <c r="J20" s="154"/>
      <c r="K20" s="154"/>
      <c r="L20" s="154"/>
      <c r="M20" s="152"/>
      <c r="Q20" s="1" t="s">
        <v>58</v>
      </c>
    </row>
    <row r="21" spans="1:49" ht="30" customHeight="1">
      <c r="A21" s="152"/>
      <c r="B21" s="152"/>
      <c r="C21" s="152"/>
      <c r="D21" s="152"/>
      <c r="E21" s="154"/>
      <c r="F21" s="154"/>
      <c r="G21" s="154"/>
      <c r="H21" s="154"/>
      <c r="I21" s="154"/>
      <c r="J21" s="154"/>
      <c r="K21" s="154"/>
      <c r="L21" s="154"/>
      <c r="M21" s="152"/>
      <c r="Q21" s="1" t="s">
        <v>58</v>
      </c>
    </row>
    <row r="22" spans="1:49" ht="30" customHeight="1">
      <c r="A22" s="152"/>
      <c r="B22" s="152"/>
      <c r="C22" s="152"/>
      <c r="D22" s="152"/>
      <c r="E22" s="154"/>
      <c r="F22" s="154"/>
      <c r="G22" s="154"/>
      <c r="H22" s="154"/>
      <c r="I22" s="154"/>
      <c r="J22" s="154"/>
      <c r="K22" s="154"/>
      <c r="L22" s="154"/>
      <c r="M22" s="152"/>
      <c r="Q22" s="1" t="s">
        <v>58</v>
      </c>
    </row>
    <row r="23" spans="1:49" ht="30" customHeight="1">
      <c r="A23" s="152"/>
      <c r="B23" s="152"/>
      <c r="C23" s="152"/>
      <c r="D23" s="152"/>
      <c r="E23" s="154"/>
      <c r="F23" s="154"/>
      <c r="G23" s="154"/>
      <c r="H23" s="154"/>
      <c r="I23" s="154"/>
      <c r="J23" s="154"/>
      <c r="K23" s="154"/>
      <c r="L23" s="154"/>
      <c r="M23" s="152"/>
      <c r="Q23" s="1" t="s">
        <v>58</v>
      </c>
    </row>
    <row r="24" spans="1:49" ht="30" customHeight="1">
      <c r="A24" s="155" t="s">
        <v>54</v>
      </c>
      <c r="B24" s="152"/>
      <c r="C24" s="152"/>
      <c r="D24" s="152"/>
      <c r="E24" s="154"/>
      <c r="F24" s="154">
        <f>SUMIF(Q5:Q23,"010120",F5:F23)</f>
        <v>0</v>
      </c>
      <c r="G24" s="154"/>
      <c r="H24" s="154">
        <f>SUMIF(Q5:Q23,"010120",H5:H23)</f>
        <v>0</v>
      </c>
      <c r="I24" s="154"/>
      <c r="J24" s="154">
        <f>SUMIF(Q5:Q23,"010120",J5:J23)</f>
        <v>0</v>
      </c>
      <c r="K24" s="154"/>
      <c r="L24" s="154">
        <f>SUMIF(Q5:Q23,"010120",L5:L23)</f>
        <v>0</v>
      </c>
      <c r="M24" s="152"/>
      <c r="N24" t="s">
        <v>55</v>
      </c>
    </row>
    <row r="25" spans="1:49" ht="30" customHeight="1">
      <c r="A25" s="155" t="s">
        <v>206</v>
      </c>
      <c r="B25" s="155" t="s">
        <v>49</v>
      </c>
      <c r="C25" s="152"/>
      <c r="D25" s="152"/>
      <c r="E25" s="154"/>
      <c r="F25" s="154"/>
      <c r="G25" s="154"/>
      <c r="H25" s="154"/>
      <c r="I25" s="154"/>
      <c r="J25" s="154"/>
      <c r="K25" s="154"/>
      <c r="L25" s="154"/>
      <c r="M25" s="152"/>
      <c r="Q25" s="158" t="s">
        <v>58</v>
      </c>
    </row>
    <row r="26" spans="1:49" ht="30" customHeight="1">
      <c r="A26" s="155" t="s">
        <v>59</v>
      </c>
      <c r="B26" s="155" t="s">
        <v>60</v>
      </c>
      <c r="C26" s="155" t="s">
        <v>56</v>
      </c>
      <c r="D26" s="152">
        <v>2118</v>
      </c>
      <c r="E26" s="154"/>
      <c r="F26" s="154">
        <f t="shared" ref="F26:F29" si="4">TRUNC(E26*D26, 0)</f>
        <v>0</v>
      </c>
      <c r="G26" s="154"/>
      <c r="H26" s="154">
        <f t="shared" ref="H26:H29" si="5">TRUNC(G26*D26, 0)</f>
        <v>0</v>
      </c>
      <c r="I26" s="154"/>
      <c r="J26" s="154">
        <f t="shared" ref="J26:J29" si="6">TRUNC(I26*D26, 0)</f>
        <v>0</v>
      </c>
      <c r="K26" s="154">
        <f t="shared" ref="K26:K29" si="7">TRUNC(E26+G26+I26, 0)</f>
        <v>0</v>
      </c>
      <c r="L26" s="154">
        <f t="shared" ref="L26:L29" si="8">TRUNC(F26+H26+J26, 0)</f>
        <v>0</v>
      </c>
      <c r="M26" s="155" t="s">
        <v>49</v>
      </c>
      <c r="N26" s="158" t="s">
        <v>183</v>
      </c>
      <c r="O26" s="158" t="s">
        <v>49</v>
      </c>
      <c r="P26" s="158" t="s">
        <v>49</v>
      </c>
      <c r="Q26" s="158" t="s">
        <v>58</v>
      </c>
      <c r="R26" s="158" t="s">
        <v>53</v>
      </c>
      <c r="S26" s="158" t="s">
        <v>53</v>
      </c>
      <c r="T26" s="158" t="s">
        <v>52</v>
      </c>
      <c r="X26">
        <v>1</v>
      </c>
      <c r="AR26" s="158" t="s">
        <v>49</v>
      </c>
      <c r="AS26" s="158" t="s">
        <v>49</v>
      </c>
      <c r="AU26" s="158" t="s">
        <v>184</v>
      </c>
      <c r="AV26">
        <v>1610</v>
      </c>
      <c r="AW26">
        <f>SUM(D26:D27)</f>
        <v>2740</v>
      </c>
    </row>
    <row r="27" spans="1:49" ht="30" customHeight="1">
      <c r="A27" s="155" t="s">
        <v>207</v>
      </c>
      <c r="B27" s="155"/>
      <c r="C27" s="155" t="s">
        <v>56</v>
      </c>
      <c r="D27" s="152">
        <v>622</v>
      </c>
      <c r="E27" s="154"/>
      <c r="F27" s="154">
        <f t="shared" si="4"/>
        <v>0</v>
      </c>
      <c r="G27" s="154"/>
      <c r="H27" s="154">
        <f t="shared" si="5"/>
        <v>0</v>
      </c>
      <c r="I27" s="154"/>
      <c r="J27" s="154">
        <f t="shared" si="6"/>
        <v>0</v>
      </c>
      <c r="K27" s="154">
        <f t="shared" si="7"/>
        <v>0</v>
      </c>
      <c r="L27" s="154">
        <f t="shared" si="8"/>
        <v>0</v>
      </c>
      <c r="M27" s="155" t="s">
        <v>49</v>
      </c>
      <c r="N27" s="158" t="s">
        <v>187</v>
      </c>
      <c r="O27" s="158" t="s">
        <v>49</v>
      </c>
      <c r="P27" s="158" t="s">
        <v>49</v>
      </c>
      <c r="Q27" s="158" t="s">
        <v>58</v>
      </c>
      <c r="R27" s="158" t="s">
        <v>53</v>
      </c>
      <c r="S27" s="158" t="s">
        <v>53</v>
      </c>
      <c r="T27" s="158" t="s">
        <v>52</v>
      </c>
      <c r="X27">
        <v>1</v>
      </c>
      <c r="AR27" s="158" t="s">
        <v>49</v>
      </c>
      <c r="AS27" s="158" t="s">
        <v>49</v>
      </c>
      <c r="AU27" s="158" t="s">
        <v>188</v>
      </c>
      <c r="AV27">
        <v>1611</v>
      </c>
    </row>
    <row r="28" spans="1:49" ht="30" customHeight="1">
      <c r="A28" s="155" t="s">
        <v>208</v>
      </c>
      <c r="B28" s="155" t="s">
        <v>196</v>
      </c>
      <c r="C28" s="155" t="s">
        <v>56</v>
      </c>
      <c r="D28" s="152">
        <v>2744</v>
      </c>
      <c r="E28" s="154"/>
      <c r="F28" s="154">
        <f t="shared" si="4"/>
        <v>0</v>
      </c>
      <c r="G28" s="154"/>
      <c r="H28" s="154">
        <f t="shared" si="5"/>
        <v>0</v>
      </c>
      <c r="I28" s="154"/>
      <c r="J28" s="154">
        <f t="shared" si="6"/>
        <v>0</v>
      </c>
      <c r="K28" s="154">
        <f t="shared" si="7"/>
        <v>0</v>
      </c>
      <c r="L28" s="154">
        <f t="shared" si="8"/>
        <v>0</v>
      </c>
      <c r="M28" s="155" t="s">
        <v>49</v>
      </c>
      <c r="N28" s="158" t="s">
        <v>189</v>
      </c>
      <c r="O28" s="158" t="s">
        <v>49</v>
      </c>
      <c r="P28" s="158" t="s">
        <v>49</v>
      </c>
      <c r="Q28" s="158" t="s">
        <v>58</v>
      </c>
      <c r="R28" s="158" t="s">
        <v>53</v>
      </c>
      <c r="S28" s="158" t="s">
        <v>53</v>
      </c>
      <c r="T28" s="158" t="s">
        <v>52</v>
      </c>
      <c r="X28">
        <v>1</v>
      </c>
      <c r="AR28" s="158" t="s">
        <v>49</v>
      </c>
      <c r="AS28" s="158" t="s">
        <v>49</v>
      </c>
      <c r="AU28" s="158" t="s">
        <v>190</v>
      </c>
      <c r="AV28">
        <v>1612</v>
      </c>
    </row>
    <row r="29" spans="1:49" ht="30" customHeight="1">
      <c r="A29" s="155" t="s">
        <v>209</v>
      </c>
      <c r="B29" s="155" t="s">
        <v>49</v>
      </c>
      <c r="C29" s="155" t="s">
        <v>56</v>
      </c>
      <c r="D29" s="152">
        <v>4</v>
      </c>
      <c r="E29" s="154"/>
      <c r="F29" s="154">
        <f t="shared" si="4"/>
        <v>0</v>
      </c>
      <c r="G29" s="154"/>
      <c r="H29" s="154">
        <f t="shared" si="5"/>
        <v>0</v>
      </c>
      <c r="I29" s="154"/>
      <c r="J29" s="154">
        <f t="shared" si="6"/>
        <v>0</v>
      </c>
      <c r="K29" s="154">
        <f t="shared" si="7"/>
        <v>0</v>
      </c>
      <c r="L29" s="154">
        <f t="shared" si="8"/>
        <v>0</v>
      </c>
      <c r="M29" s="155" t="s">
        <v>49</v>
      </c>
      <c r="N29" s="158" t="s">
        <v>192</v>
      </c>
      <c r="O29" s="158" t="s">
        <v>49</v>
      </c>
      <c r="P29" s="158" t="s">
        <v>49</v>
      </c>
      <c r="Q29" s="158" t="s">
        <v>58</v>
      </c>
      <c r="R29" s="158" t="s">
        <v>53</v>
      </c>
      <c r="S29" s="158" t="s">
        <v>53</v>
      </c>
      <c r="T29" s="158" t="s">
        <v>52</v>
      </c>
      <c r="X29">
        <v>1</v>
      </c>
      <c r="AR29" s="158" t="s">
        <v>49</v>
      </c>
      <c r="AS29" s="158" t="s">
        <v>49</v>
      </c>
      <c r="AU29" s="158" t="s">
        <v>193</v>
      </c>
      <c r="AV29">
        <v>1613</v>
      </c>
    </row>
    <row r="30" spans="1:49" ht="30" customHeight="1">
      <c r="A30" s="155"/>
      <c r="B30" s="155"/>
      <c r="C30" s="155"/>
      <c r="D30" s="152"/>
      <c r="E30" s="154"/>
      <c r="F30" s="154"/>
      <c r="G30" s="154"/>
      <c r="H30" s="154"/>
      <c r="I30" s="154"/>
      <c r="J30" s="154"/>
      <c r="K30" s="154"/>
      <c r="L30" s="154"/>
      <c r="M30" s="155"/>
      <c r="N30" s="158" t="s">
        <v>194</v>
      </c>
      <c r="O30" s="158" t="s">
        <v>49</v>
      </c>
      <c r="P30" s="158" t="s">
        <v>49</v>
      </c>
      <c r="Q30" s="158" t="s">
        <v>58</v>
      </c>
      <c r="R30" s="158" t="s">
        <v>53</v>
      </c>
      <c r="S30" s="158" t="s">
        <v>53</v>
      </c>
      <c r="T30" s="158" t="s">
        <v>52</v>
      </c>
      <c r="X30">
        <v>1</v>
      </c>
      <c r="AR30" s="158" t="s">
        <v>49</v>
      </c>
      <c r="AS30" s="158" t="s">
        <v>49</v>
      </c>
      <c r="AU30" s="158" t="s">
        <v>195</v>
      </c>
      <c r="AV30">
        <v>1614</v>
      </c>
    </row>
    <row r="31" spans="1:49" ht="30" customHeight="1">
      <c r="A31" s="155"/>
      <c r="B31" s="155"/>
      <c r="C31" s="155"/>
      <c r="D31" s="152"/>
      <c r="E31" s="154"/>
      <c r="F31" s="154"/>
      <c r="G31" s="154"/>
      <c r="H31" s="154"/>
      <c r="I31" s="154"/>
      <c r="J31" s="154"/>
      <c r="K31" s="154"/>
      <c r="L31" s="154"/>
      <c r="M31" s="155" t="s">
        <v>49</v>
      </c>
      <c r="N31" s="158" t="s">
        <v>197</v>
      </c>
      <c r="O31" s="158" t="s">
        <v>49</v>
      </c>
      <c r="P31" s="158" t="s">
        <v>49</v>
      </c>
      <c r="Q31" s="158" t="s">
        <v>58</v>
      </c>
      <c r="R31" s="158" t="s">
        <v>53</v>
      </c>
      <c r="S31" s="158" t="s">
        <v>53</v>
      </c>
      <c r="T31" s="158" t="s">
        <v>52</v>
      </c>
      <c r="X31">
        <v>1</v>
      </c>
      <c r="AR31" s="158" t="s">
        <v>49</v>
      </c>
      <c r="AS31" s="158" t="s">
        <v>49</v>
      </c>
      <c r="AU31" s="158" t="s">
        <v>198</v>
      </c>
      <c r="AV31">
        <v>1618</v>
      </c>
    </row>
    <row r="32" spans="1:49" ht="30" customHeight="1">
      <c r="A32" s="155"/>
      <c r="B32" s="155"/>
      <c r="C32" s="155"/>
      <c r="D32" s="152"/>
      <c r="E32" s="154"/>
      <c r="F32" s="154"/>
      <c r="G32" s="154"/>
      <c r="H32" s="154"/>
      <c r="I32" s="154"/>
      <c r="J32" s="154"/>
      <c r="K32" s="154"/>
      <c r="L32" s="154"/>
      <c r="M32" s="155" t="s">
        <v>49</v>
      </c>
      <c r="N32" s="158" t="s">
        <v>200</v>
      </c>
      <c r="O32" s="158" t="s">
        <v>49</v>
      </c>
      <c r="P32" s="158" t="s">
        <v>49</v>
      </c>
      <c r="Q32" s="158" t="s">
        <v>58</v>
      </c>
      <c r="R32" s="158" t="s">
        <v>53</v>
      </c>
      <c r="S32" s="158" t="s">
        <v>53</v>
      </c>
      <c r="T32" s="158" t="s">
        <v>52</v>
      </c>
      <c r="X32">
        <v>1</v>
      </c>
      <c r="AR32" s="158" t="s">
        <v>49</v>
      </c>
      <c r="AS32" s="158" t="s">
        <v>49</v>
      </c>
      <c r="AU32" s="158" t="s">
        <v>201</v>
      </c>
      <c r="AV32">
        <v>1619</v>
      </c>
    </row>
    <row r="33" spans="1:48" ht="30" customHeight="1">
      <c r="A33" s="155"/>
      <c r="B33" s="155"/>
      <c r="C33" s="155"/>
      <c r="D33" s="152"/>
      <c r="E33" s="154"/>
      <c r="F33" s="154"/>
      <c r="G33" s="154"/>
      <c r="H33" s="154"/>
      <c r="I33" s="154"/>
      <c r="J33" s="154"/>
      <c r="K33" s="154"/>
      <c r="L33" s="154"/>
      <c r="M33" s="155" t="s">
        <v>49</v>
      </c>
      <c r="N33" s="158" t="s">
        <v>202</v>
      </c>
      <c r="O33" s="158" t="s">
        <v>49</v>
      </c>
      <c r="P33" s="158" t="s">
        <v>49</v>
      </c>
      <c r="Q33" s="158" t="s">
        <v>58</v>
      </c>
      <c r="R33" s="158" t="s">
        <v>53</v>
      </c>
      <c r="S33" s="158" t="s">
        <v>53</v>
      </c>
      <c r="T33" s="158" t="s">
        <v>52</v>
      </c>
      <c r="X33">
        <v>1</v>
      </c>
      <c r="AR33" s="158" t="s">
        <v>49</v>
      </c>
      <c r="AS33" s="158" t="s">
        <v>49</v>
      </c>
      <c r="AU33" s="158" t="s">
        <v>203</v>
      </c>
      <c r="AV33">
        <v>1620</v>
      </c>
    </row>
    <row r="34" spans="1:48" ht="30" customHeight="1">
      <c r="A34" s="155"/>
      <c r="B34" s="155"/>
      <c r="C34" s="155"/>
      <c r="D34" s="152"/>
      <c r="E34" s="154"/>
      <c r="F34" s="154"/>
      <c r="G34" s="154"/>
      <c r="H34" s="154"/>
      <c r="I34" s="154"/>
      <c r="J34" s="154"/>
      <c r="K34" s="154"/>
      <c r="L34" s="154"/>
      <c r="M34" s="155"/>
      <c r="N34" s="158"/>
      <c r="O34" s="158"/>
      <c r="P34" s="158"/>
      <c r="Q34" s="158"/>
      <c r="R34" s="158"/>
      <c r="S34" s="158"/>
      <c r="T34" s="158"/>
      <c r="AR34" s="158"/>
      <c r="AS34" s="158"/>
      <c r="AU34" s="158"/>
    </row>
    <row r="35" spans="1:48" ht="30" customHeight="1">
      <c r="A35" s="155"/>
      <c r="B35" s="155"/>
      <c r="C35" s="155"/>
      <c r="D35" s="152"/>
      <c r="E35" s="154"/>
      <c r="F35" s="154"/>
      <c r="G35" s="154"/>
      <c r="H35" s="154"/>
      <c r="I35" s="154"/>
      <c r="J35" s="154"/>
      <c r="K35" s="154"/>
      <c r="L35" s="154"/>
      <c r="M35" s="155" t="s">
        <v>49</v>
      </c>
      <c r="N35" s="158" t="s">
        <v>204</v>
      </c>
      <c r="O35" s="158" t="s">
        <v>49</v>
      </c>
      <c r="P35" s="158" t="s">
        <v>49</v>
      </c>
      <c r="Q35" s="158" t="s">
        <v>58</v>
      </c>
      <c r="R35" s="158" t="s">
        <v>53</v>
      </c>
      <c r="S35" s="158" t="s">
        <v>53</v>
      </c>
      <c r="T35" s="158" t="s">
        <v>53</v>
      </c>
      <c r="AR35" s="158" t="s">
        <v>49</v>
      </c>
      <c r="AS35" s="158" t="s">
        <v>49</v>
      </c>
      <c r="AU35" s="158" t="s">
        <v>205</v>
      </c>
      <c r="AV35">
        <v>1631</v>
      </c>
    </row>
    <row r="36" spans="1:48" ht="30" customHeight="1">
      <c r="A36" s="152"/>
      <c r="B36" s="152"/>
      <c r="C36" s="152"/>
      <c r="D36" s="152"/>
      <c r="E36" s="154"/>
      <c r="F36" s="154"/>
      <c r="G36" s="154"/>
      <c r="H36" s="154"/>
      <c r="I36" s="154"/>
      <c r="J36" s="154"/>
      <c r="K36" s="154"/>
      <c r="L36" s="154"/>
      <c r="M36" s="152"/>
      <c r="Q36" s="158" t="s">
        <v>58</v>
      </c>
    </row>
    <row r="37" spans="1:48" ht="30" customHeight="1">
      <c r="A37" s="152"/>
      <c r="B37" s="152"/>
      <c r="C37" s="152"/>
      <c r="D37" s="152"/>
      <c r="E37" s="154"/>
      <c r="F37" s="154"/>
      <c r="G37" s="154"/>
      <c r="H37" s="154"/>
      <c r="I37" s="154"/>
      <c r="J37" s="154"/>
      <c r="K37" s="154"/>
      <c r="L37" s="154"/>
      <c r="M37" s="152"/>
      <c r="Q37" s="158" t="s">
        <v>58</v>
      </c>
    </row>
    <row r="38" spans="1:48" ht="30" customHeight="1">
      <c r="A38" s="152"/>
      <c r="B38" s="152"/>
      <c r="C38" s="152"/>
      <c r="D38" s="152"/>
      <c r="E38" s="154"/>
      <c r="F38" s="154"/>
      <c r="G38" s="154"/>
      <c r="H38" s="154"/>
      <c r="I38" s="154"/>
      <c r="J38" s="154"/>
      <c r="K38" s="154"/>
      <c r="L38" s="154"/>
      <c r="M38" s="152"/>
      <c r="Q38" s="158" t="s">
        <v>58</v>
      </c>
    </row>
    <row r="39" spans="1:48" ht="30" customHeight="1">
      <c r="A39" s="152"/>
      <c r="B39" s="152"/>
      <c r="C39" s="152"/>
      <c r="D39" s="152"/>
      <c r="E39" s="154"/>
      <c r="F39" s="154"/>
      <c r="G39" s="154"/>
      <c r="H39" s="154"/>
      <c r="I39" s="154"/>
      <c r="J39" s="154"/>
      <c r="K39" s="154"/>
      <c r="L39" s="154"/>
      <c r="M39" s="152"/>
      <c r="Q39" s="158" t="s">
        <v>58</v>
      </c>
    </row>
    <row r="40" spans="1:48" ht="30" customHeight="1">
      <c r="A40" s="152"/>
      <c r="B40" s="152"/>
      <c r="C40" s="152"/>
      <c r="D40" s="152"/>
      <c r="E40" s="154"/>
      <c r="F40" s="154"/>
      <c r="G40" s="154"/>
      <c r="H40" s="154"/>
      <c r="I40" s="154"/>
      <c r="J40" s="154"/>
      <c r="K40" s="154"/>
      <c r="L40" s="154"/>
      <c r="M40" s="152"/>
      <c r="Q40" s="158" t="s">
        <v>58</v>
      </c>
    </row>
    <row r="41" spans="1:48" ht="30" customHeight="1">
      <c r="A41" s="152"/>
      <c r="B41" s="152"/>
      <c r="C41" s="152"/>
      <c r="D41" s="152"/>
      <c r="E41" s="154"/>
      <c r="F41" s="154"/>
      <c r="G41" s="154"/>
      <c r="H41" s="154"/>
      <c r="I41" s="154"/>
      <c r="J41" s="154"/>
      <c r="K41" s="154"/>
      <c r="L41" s="154"/>
      <c r="M41" s="152"/>
      <c r="Q41" s="158" t="s">
        <v>58</v>
      </c>
    </row>
    <row r="42" spans="1:48" ht="30" customHeight="1">
      <c r="A42" s="152"/>
      <c r="B42" s="152"/>
      <c r="C42" s="152"/>
      <c r="D42" s="152"/>
      <c r="E42" s="154"/>
      <c r="F42" s="154"/>
      <c r="G42" s="154"/>
      <c r="H42" s="154"/>
      <c r="I42" s="154"/>
      <c r="J42" s="154"/>
      <c r="K42" s="154"/>
      <c r="L42" s="154"/>
      <c r="M42" s="152"/>
      <c r="Q42" s="158" t="s">
        <v>58</v>
      </c>
    </row>
    <row r="43" spans="1:48" ht="30" customHeight="1">
      <c r="A43" s="152"/>
      <c r="B43" s="152"/>
      <c r="C43" s="152"/>
      <c r="D43" s="152"/>
      <c r="E43" s="154"/>
      <c r="F43" s="154"/>
      <c r="G43" s="154"/>
      <c r="H43" s="154"/>
      <c r="I43" s="154"/>
      <c r="J43" s="154"/>
      <c r="K43" s="154"/>
      <c r="L43" s="154"/>
      <c r="M43" s="152"/>
      <c r="Q43" s="158" t="s">
        <v>58</v>
      </c>
    </row>
    <row r="44" spans="1:48" ht="30" customHeight="1">
      <c r="A44" s="152"/>
      <c r="B44" s="152"/>
      <c r="C44" s="152"/>
      <c r="D44" s="152"/>
      <c r="E44" s="154"/>
      <c r="F44" s="154"/>
      <c r="G44" s="154"/>
      <c r="H44" s="154"/>
      <c r="I44" s="154"/>
      <c r="J44" s="154"/>
      <c r="K44" s="154"/>
      <c r="L44" s="154"/>
      <c r="M44" s="152"/>
      <c r="Q44" s="158" t="s">
        <v>58</v>
      </c>
    </row>
    <row r="45" spans="1:48" ht="30" customHeight="1">
      <c r="A45" s="155" t="s">
        <v>54</v>
      </c>
      <c r="B45" s="152"/>
      <c r="C45" s="152"/>
      <c r="D45" s="152"/>
      <c r="E45" s="154"/>
      <c r="F45" s="154">
        <f>SUMIF(Q26:Q44,"010120",F26:F44)</f>
        <v>0</v>
      </c>
      <c r="G45" s="154"/>
      <c r="H45" s="154">
        <f>SUMIF(Q26:Q44,"010120",H26:H44)</f>
        <v>0</v>
      </c>
      <c r="I45" s="154"/>
      <c r="J45" s="154">
        <f>SUMIF(Q26:Q44,"010120",J26:J44)</f>
        <v>0</v>
      </c>
      <c r="K45" s="154"/>
      <c r="L45" s="154">
        <f>SUMIF(Q26:Q44,"010120",L26:L44)</f>
        <v>0</v>
      </c>
      <c r="M45" s="152"/>
      <c r="N45" t="s">
        <v>55</v>
      </c>
    </row>
  </sheetData>
  <mergeCells count="44">
    <mergeCell ref="AU2:AU3"/>
    <mergeCell ref="AV2:AV3"/>
    <mergeCell ref="AO2:AO3"/>
    <mergeCell ref="AP2:AP3"/>
    <mergeCell ref="AQ2:AQ3"/>
    <mergeCell ref="AR2:AR3"/>
    <mergeCell ref="AS2:AS3"/>
    <mergeCell ref="AT2:AT3"/>
    <mergeCell ref="AN2:AN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B2:AB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P2:P3"/>
    <mergeCell ref="A2:A3"/>
    <mergeCell ref="B2:B3"/>
    <mergeCell ref="C2:C3"/>
    <mergeCell ref="D2:D3"/>
    <mergeCell ref="E2:F2"/>
    <mergeCell ref="G2:H2"/>
    <mergeCell ref="I2:J2"/>
    <mergeCell ref="K2:L2"/>
    <mergeCell ref="M2:M3"/>
    <mergeCell ref="N2:N3"/>
    <mergeCell ref="O2:O3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58" fitToHeight="0" orientation="landscape" r:id="rId1"/>
  <rowBreaks count="2" manualBreakCount="2">
    <brk id="24" max="12" man="1"/>
    <brk id="45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0C0"/>
    <pageSetUpPr fitToPage="1"/>
  </sheetPr>
  <dimension ref="A1:AY45"/>
  <sheetViews>
    <sheetView view="pageBreakPreview" zoomScale="70" zoomScaleNormal="100" zoomScaleSheetLayoutView="70" workbookViewId="0"/>
  </sheetViews>
  <sheetFormatPr defaultRowHeight="17"/>
  <cols>
    <col min="1" max="2" width="30.6640625" customWidth="1"/>
    <col min="3" max="3" width="4.6640625" customWidth="1"/>
    <col min="4" max="4" width="10" customWidth="1"/>
    <col min="5" max="12" width="14.6640625" customWidth="1"/>
    <col min="13" max="13" width="12.6640625" customWidth="1"/>
    <col min="14" max="43" width="2.6640625" hidden="1" customWidth="1"/>
    <col min="44" max="44" width="10.6640625" hidden="1" customWidth="1"/>
    <col min="45" max="46" width="1.6640625" hidden="1" customWidth="1"/>
    <col min="47" max="47" width="24.6640625" hidden="1" customWidth="1"/>
    <col min="48" max="48" width="10.6640625" hidden="1" customWidth="1"/>
  </cols>
  <sheetData>
    <row r="1" spans="1:49" ht="30" customHeight="1">
      <c r="A1" s="2" t="s">
        <v>213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</row>
    <row r="2" spans="1:49" ht="30" customHeight="1">
      <c r="A2" s="232" t="s">
        <v>0</v>
      </c>
      <c r="B2" s="232" t="s">
        <v>1</v>
      </c>
      <c r="C2" s="232" t="s">
        <v>2</v>
      </c>
      <c r="D2" s="232" t="s">
        <v>3</v>
      </c>
      <c r="E2" s="232" t="s">
        <v>4</v>
      </c>
      <c r="F2" s="232"/>
      <c r="G2" s="232" t="s">
        <v>7</v>
      </c>
      <c r="H2" s="232"/>
      <c r="I2" s="232" t="s">
        <v>8</v>
      </c>
      <c r="J2" s="232"/>
      <c r="K2" s="232" t="s">
        <v>9</v>
      </c>
      <c r="L2" s="232"/>
      <c r="M2" s="232" t="s">
        <v>10</v>
      </c>
      <c r="N2" s="222" t="s">
        <v>18</v>
      </c>
      <c r="O2" s="222" t="s">
        <v>12</v>
      </c>
      <c r="P2" s="222" t="s">
        <v>19</v>
      </c>
      <c r="Q2" s="222" t="s">
        <v>11</v>
      </c>
      <c r="R2" s="222" t="s">
        <v>20</v>
      </c>
      <c r="S2" s="222" t="s">
        <v>21</v>
      </c>
      <c r="T2" s="222" t="s">
        <v>22</v>
      </c>
      <c r="U2" s="222" t="s">
        <v>23</v>
      </c>
      <c r="V2" s="222" t="s">
        <v>24</v>
      </c>
      <c r="W2" s="222" t="s">
        <v>25</v>
      </c>
      <c r="X2" s="222" t="s">
        <v>26</v>
      </c>
      <c r="Y2" s="222" t="s">
        <v>27</v>
      </c>
      <c r="Z2" s="222" t="s">
        <v>28</v>
      </c>
      <c r="AA2" s="222" t="s">
        <v>29</v>
      </c>
      <c r="AB2" s="222" t="s">
        <v>30</v>
      </c>
      <c r="AC2" s="222" t="s">
        <v>31</v>
      </c>
      <c r="AD2" s="222" t="s">
        <v>32</v>
      </c>
      <c r="AE2" s="222" t="s">
        <v>33</v>
      </c>
      <c r="AF2" s="222" t="s">
        <v>34</v>
      </c>
      <c r="AG2" s="222" t="s">
        <v>35</v>
      </c>
      <c r="AH2" s="222" t="s">
        <v>36</v>
      </c>
      <c r="AI2" s="222" t="s">
        <v>37</v>
      </c>
      <c r="AJ2" s="222" t="s">
        <v>38</v>
      </c>
      <c r="AK2" s="222" t="s">
        <v>39</v>
      </c>
      <c r="AL2" s="222" t="s">
        <v>40</v>
      </c>
      <c r="AM2" s="222" t="s">
        <v>41</v>
      </c>
      <c r="AN2" s="222" t="s">
        <v>42</v>
      </c>
      <c r="AO2" s="222" t="s">
        <v>43</v>
      </c>
      <c r="AP2" s="222" t="s">
        <v>44</v>
      </c>
      <c r="AQ2" s="222" t="s">
        <v>45</v>
      </c>
      <c r="AR2" s="222" t="s">
        <v>46</v>
      </c>
      <c r="AS2" s="222" t="s">
        <v>14</v>
      </c>
      <c r="AT2" s="222" t="s">
        <v>15</v>
      </c>
      <c r="AU2" s="222" t="s">
        <v>47</v>
      </c>
      <c r="AV2" s="222" t="s">
        <v>48</v>
      </c>
    </row>
    <row r="3" spans="1:49" ht="30" customHeight="1">
      <c r="A3" s="232"/>
      <c r="B3" s="232"/>
      <c r="C3" s="232"/>
      <c r="D3" s="232"/>
      <c r="E3" s="141" t="s">
        <v>5</v>
      </c>
      <c r="F3" s="141" t="s">
        <v>6</v>
      </c>
      <c r="G3" s="141" t="s">
        <v>5</v>
      </c>
      <c r="H3" s="141" t="s">
        <v>6</v>
      </c>
      <c r="I3" s="141" t="s">
        <v>5</v>
      </c>
      <c r="J3" s="141" t="s">
        <v>6</v>
      </c>
      <c r="K3" s="141" t="s">
        <v>5</v>
      </c>
      <c r="L3" s="141" t="s">
        <v>6</v>
      </c>
      <c r="M3" s="232"/>
      <c r="N3" s="222"/>
      <c r="O3" s="222"/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  <c r="AA3" s="222"/>
      <c r="AB3" s="222"/>
      <c r="AC3" s="222"/>
      <c r="AD3" s="222"/>
      <c r="AE3" s="222"/>
      <c r="AF3" s="222"/>
      <c r="AG3" s="222"/>
      <c r="AH3" s="222"/>
      <c r="AI3" s="222"/>
      <c r="AJ3" s="222"/>
      <c r="AK3" s="222"/>
      <c r="AL3" s="222"/>
      <c r="AM3" s="222"/>
      <c r="AN3" s="222"/>
      <c r="AO3" s="222"/>
      <c r="AP3" s="222"/>
      <c r="AQ3" s="222"/>
      <c r="AR3" s="222"/>
      <c r="AS3" s="222"/>
      <c r="AT3" s="222"/>
      <c r="AU3" s="222"/>
      <c r="AV3" s="222"/>
    </row>
    <row r="4" spans="1:49" ht="30" customHeight="1">
      <c r="A4" s="140" t="s">
        <v>57</v>
      </c>
      <c r="B4" s="140" t="s">
        <v>49</v>
      </c>
      <c r="C4" s="6"/>
      <c r="D4" s="6"/>
      <c r="E4" s="139"/>
      <c r="F4" s="139"/>
      <c r="G4" s="139"/>
      <c r="H4" s="139"/>
      <c r="I4" s="139"/>
      <c r="J4" s="139"/>
      <c r="K4" s="139"/>
      <c r="L4" s="139"/>
      <c r="M4" s="6"/>
      <c r="Q4" s="1" t="s">
        <v>58</v>
      </c>
    </row>
    <row r="5" spans="1:49" ht="30" customHeight="1">
      <c r="A5" s="140" t="s">
        <v>59</v>
      </c>
      <c r="B5" s="140" t="s">
        <v>60</v>
      </c>
      <c r="C5" s="140" t="s">
        <v>56</v>
      </c>
      <c r="D5" s="6">
        <v>328.92599999999999</v>
      </c>
      <c r="E5" s="139"/>
      <c r="F5" s="139">
        <f t="shared" ref="F5:F10" si="0">TRUNC(E5*D5, 0)</f>
        <v>0</v>
      </c>
      <c r="G5" s="139"/>
      <c r="H5" s="139">
        <f t="shared" ref="H5:H10" si="1">TRUNC(G5*D5, 0)</f>
        <v>0</v>
      </c>
      <c r="I5" s="139"/>
      <c r="J5" s="139">
        <f t="shared" ref="J5:J10" si="2">TRUNC(I5*D5, 0)</f>
        <v>0</v>
      </c>
      <c r="K5" s="139">
        <f t="shared" ref="K5:L10" si="3">TRUNC(E5+G5+I5, 0)</f>
        <v>0</v>
      </c>
      <c r="L5" s="139">
        <f t="shared" si="3"/>
        <v>0</v>
      </c>
      <c r="M5" s="140" t="s">
        <v>49</v>
      </c>
      <c r="N5" s="1" t="s">
        <v>178</v>
      </c>
      <c r="O5" s="1" t="s">
        <v>49</v>
      </c>
      <c r="P5" s="1" t="s">
        <v>49</v>
      </c>
      <c r="Q5" s="1" t="s">
        <v>58</v>
      </c>
      <c r="R5" s="1" t="s">
        <v>53</v>
      </c>
      <c r="S5" s="1" t="s">
        <v>53</v>
      </c>
      <c r="T5" s="1" t="s">
        <v>52</v>
      </c>
      <c r="X5">
        <v>1</v>
      </c>
      <c r="AR5" s="1" t="s">
        <v>49</v>
      </c>
      <c r="AS5" s="1" t="s">
        <v>49</v>
      </c>
      <c r="AU5" s="1" t="s">
        <v>177</v>
      </c>
      <c r="AV5">
        <v>1622</v>
      </c>
    </row>
    <row r="6" spans="1:49" ht="30" customHeight="1">
      <c r="A6" s="140" t="s">
        <v>61</v>
      </c>
      <c r="B6" s="140" t="s">
        <v>49</v>
      </c>
      <c r="C6" s="140" t="s">
        <v>56</v>
      </c>
      <c r="D6" s="6">
        <v>9.4879999999999995</v>
      </c>
      <c r="E6" s="139"/>
      <c r="F6" s="139">
        <f t="shared" si="0"/>
        <v>0</v>
      </c>
      <c r="G6" s="139"/>
      <c r="H6" s="139">
        <f t="shared" si="1"/>
        <v>0</v>
      </c>
      <c r="I6" s="139"/>
      <c r="J6" s="139">
        <f t="shared" si="2"/>
        <v>0</v>
      </c>
      <c r="K6" s="139">
        <f t="shared" si="3"/>
        <v>0</v>
      </c>
      <c r="L6" s="139">
        <f t="shared" si="3"/>
        <v>0</v>
      </c>
      <c r="M6" s="140" t="s">
        <v>49</v>
      </c>
      <c r="N6" s="1" t="s">
        <v>176</v>
      </c>
      <c r="O6" s="1" t="s">
        <v>49</v>
      </c>
      <c r="P6" s="1" t="s">
        <v>49</v>
      </c>
      <c r="Q6" s="1" t="s">
        <v>58</v>
      </c>
      <c r="R6" s="1" t="s">
        <v>53</v>
      </c>
      <c r="S6" s="1" t="s">
        <v>53</v>
      </c>
      <c r="T6" s="1" t="s">
        <v>52</v>
      </c>
      <c r="X6">
        <v>1</v>
      </c>
      <c r="AR6" s="1" t="s">
        <v>49</v>
      </c>
      <c r="AS6" s="1" t="s">
        <v>49</v>
      </c>
      <c r="AU6" s="1" t="s">
        <v>175</v>
      </c>
      <c r="AV6">
        <v>1623</v>
      </c>
    </row>
    <row r="7" spans="1:49" ht="30" customHeight="1">
      <c r="A7" s="140" t="s">
        <v>62</v>
      </c>
      <c r="B7" s="140" t="s">
        <v>63</v>
      </c>
      <c r="C7" s="140" t="s">
        <v>56</v>
      </c>
      <c r="D7" s="6">
        <v>82.5</v>
      </c>
      <c r="E7" s="139"/>
      <c r="F7" s="139">
        <f t="shared" si="0"/>
        <v>0</v>
      </c>
      <c r="G7" s="139"/>
      <c r="H7" s="139">
        <f t="shared" si="1"/>
        <v>0</v>
      </c>
      <c r="I7" s="139"/>
      <c r="J7" s="139">
        <f t="shared" si="2"/>
        <v>0</v>
      </c>
      <c r="K7" s="139">
        <f t="shared" si="3"/>
        <v>0</v>
      </c>
      <c r="L7" s="139">
        <f t="shared" si="3"/>
        <v>0</v>
      </c>
      <c r="M7" s="140" t="s">
        <v>49</v>
      </c>
      <c r="N7" s="1" t="s">
        <v>174</v>
      </c>
      <c r="O7" s="1" t="s">
        <v>49</v>
      </c>
      <c r="P7" s="1" t="s">
        <v>49</v>
      </c>
      <c r="Q7" s="1" t="s">
        <v>58</v>
      </c>
      <c r="R7" s="1" t="s">
        <v>53</v>
      </c>
      <c r="S7" s="1" t="s">
        <v>53</v>
      </c>
      <c r="T7" s="1" t="s">
        <v>52</v>
      </c>
      <c r="X7">
        <v>1</v>
      </c>
      <c r="AR7" s="1" t="s">
        <v>49</v>
      </c>
      <c r="AS7" s="1" t="s">
        <v>49</v>
      </c>
      <c r="AU7" s="1" t="s">
        <v>173</v>
      </c>
      <c r="AV7">
        <v>1624</v>
      </c>
    </row>
    <row r="8" spans="1:49" ht="30" customHeight="1">
      <c r="A8" s="140" t="s">
        <v>64</v>
      </c>
      <c r="B8" s="140" t="s">
        <v>172</v>
      </c>
      <c r="C8" s="140" t="s">
        <v>56</v>
      </c>
      <c r="D8" s="6">
        <v>328.92599999999999</v>
      </c>
      <c r="E8" s="139"/>
      <c r="F8" s="139">
        <f t="shared" si="0"/>
        <v>0</v>
      </c>
      <c r="G8" s="139"/>
      <c r="H8" s="139">
        <f t="shared" si="1"/>
        <v>0</v>
      </c>
      <c r="I8" s="139"/>
      <c r="J8" s="139">
        <f t="shared" si="2"/>
        <v>0</v>
      </c>
      <c r="K8" s="139">
        <f t="shared" si="3"/>
        <v>0</v>
      </c>
      <c r="L8" s="139">
        <f t="shared" si="3"/>
        <v>0</v>
      </c>
      <c r="M8" s="140" t="s">
        <v>49</v>
      </c>
      <c r="N8" s="1" t="s">
        <v>171</v>
      </c>
      <c r="O8" s="1" t="s">
        <v>49</v>
      </c>
      <c r="P8" s="1" t="s">
        <v>49</v>
      </c>
      <c r="Q8" s="1" t="s">
        <v>58</v>
      </c>
      <c r="R8" s="1" t="s">
        <v>53</v>
      </c>
      <c r="S8" s="1" t="s">
        <v>53</v>
      </c>
      <c r="T8" s="1" t="s">
        <v>52</v>
      </c>
      <c r="X8">
        <v>1</v>
      </c>
      <c r="AR8" s="1" t="s">
        <v>49</v>
      </c>
      <c r="AS8" s="1" t="s">
        <v>49</v>
      </c>
      <c r="AU8" s="1" t="s">
        <v>170</v>
      </c>
      <c r="AV8">
        <v>1628</v>
      </c>
    </row>
    <row r="9" spans="1:49" ht="30" customHeight="1">
      <c r="A9" s="140" t="s">
        <v>65</v>
      </c>
      <c r="B9" s="140" t="s">
        <v>169</v>
      </c>
      <c r="C9" s="140" t="s">
        <v>56</v>
      </c>
      <c r="D9" s="6">
        <v>82.5</v>
      </c>
      <c r="E9" s="139"/>
      <c r="F9" s="139">
        <f t="shared" si="0"/>
        <v>0</v>
      </c>
      <c r="G9" s="139"/>
      <c r="H9" s="139">
        <f t="shared" si="1"/>
        <v>0</v>
      </c>
      <c r="I9" s="139"/>
      <c r="J9" s="139">
        <f t="shared" si="2"/>
        <v>0</v>
      </c>
      <c r="K9" s="139">
        <f t="shared" si="3"/>
        <v>0</v>
      </c>
      <c r="L9" s="139">
        <f t="shared" si="3"/>
        <v>0</v>
      </c>
      <c r="M9" s="140" t="s">
        <v>49</v>
      </c>
      <c r="N9" s="1" t="s">
        <v>168</v>
      </c>
      <c r="O9" s="1" t="s">
        <v>49</v>
      </c>
      <c r="P9" s="1" t="s">
        <v>49</v>
      </c>
      <c r="Q9" s="1" t="s">
        <v>58</v>
      </c>
      <c r="R9" s="1" t="s">
        <v>53</v>
      </c>
      <c r="S9" s="1" t="s">
        <v>53</v>
      </c>
      <c r="T9" s="1" t="s">
        <v>52</v>
      </c>
      <c r="X9">
        <v>1</v>
      </c>
      <c r="AR9" s="1" t="s">
        <v>49</v>
      </c>
      <c r="AS9" s="1" t="s">
        <v>49</v>
      </c>
      <c r="AU9" s="1" t="s">
        <v>167</v>
      </c>
      <c r="AV9">
        <v>1629</v>
      </c>
      <c r="AW9">
        <f>SUM(D5:D7)</f>
        <v>420.91399999999999</v>
      </c>
    </row>
    <row r="10" spans="1:49" ht="30" customHeight="1">
      <c r="A10" s="140" t="s">
        <v>66</v>
      </c>
      <c r="B10" s="140" t="s">
        <v>67</v>
      </c>
      <c r="C10" s="140" t="s">
        <v>56</v>
      </c>
      <c r="D10" s="6">
        <v>9.4879999999999995</v>
      </c>
      <c r="E10" s="139"/>
      <c r="F10" s="139">
        <f t="shared" si="0"/>
        <v>0</v>
      </c>
      <c r="G10" s="139"/>
      <c r="H10" s="139">
        <f t="shared" si="1"/>
        <v>0</v>
      </c>
      <c r="I10" s="139"/>
      <c r="J10" s="139">
        <f t="shared" si="2"/>
        <v>0</v>
      </c>
      <c r="K10" s="139">
        <f t="shared" si="3"/>
        <v>0</v>
      </c>
      <c r="L10" s="139">
        <f t="shared" si="3"/>
        <v>0</v>
      </c>
      <c r="M10" s="140" t="s">
        <v>49</v>
      </c>
      <c r="N10" s="1" t="s">
        <v>166</v>
      </c>
      <c r="O10" s="1" t="s">
        <v>49</v>
      </c>
      <c r="P10" s="1" t="s">
        <v>49</v>
      </c>
      <c r="Q10" s="1" t="s">
        <v>58</v>
      </c>
      <c r="R10" s="1" t="s">
        <v>53</v>
      </c>
      <c r="S10" s="1" t="s">
        <v>53</v>
      </c>
      <c r="T10" s="1" t="s">
        <v>52</v>
      </c>
      <c r="X10">
        <v>1</v>
      </c>
      <c r="AR10" s="1" t="s">
        <v>49</v>
      </c>
      <c r="AS10" s="1" t="s">
        <v>49</v>
      </c>
      <c r="AU10" s="1" t="s">
        <v>165</v>
      </c>
      <c r="AV10">
        <v>1630</v>
      </c>
    </row>
    <row r="11" spans="1:49" ht="30" customHeight="1">
      <c r="A11" s="140"/>
      <c r="B11" s="140"/>
      <c r="C11" s="140"/>
      <c r="D11" s="6"/>
      <c r="E11" s="139"/>
      <c r="F11" s="139"/>
      <c r="G11" s="139"/>
      <c r="H11" s="139"/>
      <c r="I11" s="139"/>
      <c r="J11" s="139"/>
      <c r="K11" s="139"/>
      <c r="L11" s="139"/>
      <c r="M11" s="140" t="s">
        <v>49</v>
      </c>
      <c r="N11" s="1" t="s">
        <v>164</v>
      </c>
      <c r="O11" s="1" t="s">
        <v>49</v>
      </c>
      <c r="P11" s="1" t="s">
        <v>49</v>
      </c>
      <c r="Q11" s="1" t="s">
        <v>58</v>
      </c>
      <c r="R11" s="1" t="s">
        <v>53</v>
      </c>
      <c r="S11" s="1" t="s">
        <v>53</v>
      </c>
      <c r="T11" s="1" t="s">
        <v>53</v>
      </c>
      <c r="AR11" s="1" t="s">
        <v>49</v>
      </c>
      <c r="AS11" s="1" t="s">
        <v>49</v>
      </c>
      <c r="AU11" s="1" t="s">
        <v>163</v>
      </c>
      <c r="AV11">
        <v>1632</v>
      </c>
    </row>
    <row r="12" spans="1:49" ht="30" customHeight="1">
      <c r="A12" s="6"/>
      <c r="B12" s="6"/>
      <c r="C12" s="6"/>
      <c r="D12" s="6"/>
      <c r="E12" s="139"/>
      <c r="F12" s="139"/>
      <c r="G12" s="139"/>
      <c r="H12" s="139"/>
      <c r="I12" s="139"/>
      <c r="J12" s="139"/>
      <c r="K12" s="139"/>
      <c r="L12" s="139"/>
      <c r="M12" s="6"/>
      <c r="Q12" s="1" t="s">
        <v>58</v>
      </c>
    </row>
    <row r="13" spans="1:49" ht="30" customHeight="1">
      <c r="A13" s="6"/>
      <c r="B13" s="6"/>
      <c r="C13" s="6"/>
      <c r="D13" s="6"/>
      <c r="E13" s="139"/>
      <c r="F13" s="139"/>
      <c r="G13" s="139"/>
      <c r="H13" s="139"/>
      <c r="I13" s="139"/>
      <c r="J13" s="139"/>
      <c r="K13" s="139"/>
      <c r="L13" s="139"/>
      <c r="M13" s="6"/>
      <c r="Q13" s="1" t="s">
        <v>58</v>
      </c>
    </row>
    <row r="14" spans="1:49" ht="30" customHeight="1">
      <c r="A14" s="6"/>
      <c r="B14" s="6"/>
      <c r="C14" s="6"/>
      <c r="D14" s="6"/>
      <c r="E14" s="139"/>
      <c r="F14" s="139"/>
      <c r="G14" s="139"/>
      <c r="H14" s="139"/>
      <c r="I14" s="139"/>
      <c r="J14" s="139"/>
      <c r="K14" s="139"/>
      <c r="L14" s="139"/>
      <c r="M14" s="6"/>
      <c r="Q14" s="1" t="s">
        <v>58</v>
      </c>
    </row>
    <row r="15" spans="1:49" ht="30" customHeight="1">
      <c r="A15" s="6"/>
      <c r="B15" s="6"/>
      <c r="C15" s="6"/>
      <c r="D15" s="6"/>
      <c r="E15" s="139"/>
      <c r="F15" s="139"/>
      <c r="G15" s="139"/>
      <c r="H15" s="139"/>
      <c r="I15" s="139"/>
      <c r="J15" s="139"/>
      <c r="K15" s="139"/>
      <c r="L15" s="139"/>
      <c r="M15" s="6"/>
      <c r="Q15" s="1" t="s">
        <v>58</v>
      </c>
    </row>
    <row r="16" spans="1:49" ht="30" customHeight="1">
      <c r="A16" s="6"/>
      <c r="B16" s="6"/>
      <c r="C16" s="6"/>
      <c r="D16" s="6"/>
      <c r="E16" s="139"/>
      <c r="F16" s="139"/>
      <c r="G16" s="139"/>
      <c r="H16" s="139"/>
      <c r="I16" s="139"/>
      <c r="J16" s="139"/>
      <c r="K16" s="139"/>
      <c r="L16" s="139"/>
      <c r="M16" s="6"/>
      <c r="Q16" s="1" t="s">
        <v>58</v>
      </c>
    </row>
    <row r="17" spans="1:51" ht="30" customHeight="1">
      <c r="A17" s="6"/>
      <c r="B17" s="6"/>
      <c r="C17" s="6"/>
      <c r="D17" s="6"/>
      <c r="E17" s="139"/>
      <c r="F17" s="139"/>
      <c r="G17" s="139"/>
      <c r="H17" s="139"/>
      <c r="I17" s="139"/>
      <c r="J17" s="139"/>
      <c r="K17" s="139"/>
      <c r="L17" s="139"/>
      <c r="M17" s="6"/>
      <c r="Q17" s="1" t="s">
        <v>58</v>
      </c>
    </row>
    <row r="18" spans="1:51" ht="30" customHeight="1">
      <c r="A18" s="6"/>
      <c r="B18" s="6"/>
      <c r="C18" s="6"/>
      <c r="D18" s="6"/>
      <c r="E18" s="139"/>
      <c r="F18" s="139"/>
      <c r="G18" s="139"/>
      <c r="H18" s="139"/>
      <c r="I18" s="139"/>
      <c r="J18" s="139"/>
      <c r="K18" s="139"/>
      <c r="L18" s="139"/>
      <c r="M18" s="6"/>
      <c r="Q18" s="1" t="s">
        <v>58</v>
      </c>
    </row>
    <row r="19" spans="1:51" ht="30" customHeight="1">
      <c r="A19" s="6"/>
      <c r="B19" s="6"/>
      <c r="C19" s="6"/>
      <c r="D19" s="6"/>
      <c r="E19" s="139"/>
      <c r="F19" s="139"/>
      <c r="G19" s="139"/>
      <c r="H19" s="139"/>
      <c r="I19" s="139"/>
      <c r="J19" s="139"/>
      <c r="K19" s="139"/>
      <c r="L19" s="139"/>
      <c r="M19" s="6"/>
      <c r="Q19" s="1" t="s">
        <v>58</v>
      </c>
    </row>
    <row r="20" spans="1:51" ht="30" customHeight="1">
      <c r="A20" s="6"/>
      <c r="B20" s="6"/>
      <c r="C20" s="6"/>
      <c r="D20" s="6"/>
      <c r="E20" s="139"/>
      <c r="F20" s="139"/>
      <c r="G20" s="139"/>
      <c r="H20" s="139"/>
      <c r="I20" s="139"/>
      <c r="J20" s="139"/>
      <c r="K20" s="139"/>
      <c r="L20" s="139"/>
      <c r="M20" s="6"/>
      <c r="Q20" s="1" t="s">
        <v>58</v>
      </c>
    </row>
    <row r="21" spans="1:51" ht="30" customHeight="1">
      <c r="A21" s="6"/>
      <c r="B21" s="6"/>
      <c r="C21" s="6"/>
      <c r="D21" s="6"/>
      <c r="E21" s="139"/>
      <c r="F21" s="139"/>
      <c r="G21" s="139"/>
      <c r="H21" s="139"/>
      <c r="I21" s="139"/>
      <c r="J21" s="139"/>
      <c r="K21" s="139"/>
      <c r="L21" s="139"/>
      <c r="M21" s="6"/>
      <c r="Q21" s="1" t="s">
        <v>58</v>
      </c>
    </row>
    <row r="22" spans="1:51" ht="30" customHeight="1">
      <c r="A22" s="6"/>
      <c r="B22" s="6"/>
      <c r="C22" s="6"/>
      <c r="D22" s="6"/>
      <c r="E22" s="139"/>
      <c r="F22" s="139"/>
      <c r="G22" s="139"/>
      <c r="H22" s="139"/>
      <c r="I22" s="139"/>
      <c r="J22" s="139"/>
      <c r="K22" s="139"/>
      <c r="L22" s="139"/>
      <c r="M22" s="6"/>
      <c r="Q22" s="1" t="s">
        <v>58</v>
      </c>
    </row>
    <row r="23" spans="1:51" ht="30" customHeight="1">
      <c r="A23" s="6"/>
      <c r="B23" s="6"/>
      <c r="C23" s="6"/>
      <c r="D23" s="6"/>
      <c r="E23" s="139"/>
      <c r="F23" s="139"/>
      <c r="G23" s="139"/>
      <c r="H23" s="139"/>
      <c r="I23" s="139"/>
      <c r="J23" s="139"/>
      <c r="K23" s="139"/>
      <c r="L23" s="139"/>
      <c r="M23" s="6"/>
      <c r="Q23" s="1" t="s">
        <v>58</v>
      </c>
    </row>
    <row r="24" spans="1:51" ht="30" customHeight="1">
      <c r="A24" s="140" t="s">
        <v>54</v>
      </c>
      <c r="B24" s="6"/>
      <c r="C24" s="6"/>
      <c r="D24" s="6"/>
      <c r="E24" s="139"/>
      <c r="F24" s="139">
        <f>SUMIF(Q5:Q23,"010120",F5:F23)</f>
        <v>0</v>
      </c>
      <c r="G24" s="139"/>
      <c r="H24" s="139">
        <f>SUMIF(Q5:Q23,"010120",H5:H23)</f>
        <v>0</v>
      </c>
      <c r="I24" s="139"/>
      <c r="J24" s="139">
        <f>SUMIF(Q5:Q23,"010120",J5:J23)</f>
        <v>0</v>
      </c>
      <c r="K24" s="139"/>
      <c r="L24" s="139">
        <f>SUMIF(Q5:Q23,"010120",L5:L23)</f>
        <v>0</v>
      </c>
      <c r="M24" s="6"/>
      <c r="N24" t="s">
        <v>55</v>
      </c>
    </row>
    <row r="25" spans="1:51" ht="30" customHeight="1">
      <c r="A25" s="155" t="s">
        <v>206</v>
      </c>
      <c r="B25" s="155" t="s">
        <v>49</v>
      </c>
      <c r="C25" s="152"/>
      <c r="D25" s="6"/>
      <c r="E25" s="139"/>
      <c r="F25" s="139"/>
      <c r="G25" s="139"/>
      <c r="H25" s="139"/>
      <c r="I25" s="139"/>
      <c r="J25" s="139"/>
      <c r="K25" s="139"/>
      <c r="L25" s="139"/>
      <c r="M25" s="6"/>
      <c r="Q25" s="158" t="s">
        <v>58</v>
      </c>
    </row>
    <row r="26" spans="1:51" ht="30" customHeight="1">
      <c r="A26" s="155" t="s">
        <v>59</v>
      </c>
      <c r="B26" s="155" t="s">
        <v>60</v>
      </c>
      <c r="C26" s="155" t="s">
        <v>56</v>
      </c>
      <c r="D26" s="6">
        <v>1851</v>
      </c>
      <c r="E26" s="139"/>
      <c r="F26" s="139">
        <f t="shared" ref="F26:F29" si="4">TRUNC(E26*D26, 0)</f>
        <v>0</v>
      </c>
      <c r="G26" s="139"/>
      <c r="H26" s="139">
        <f t="shared" ref="H26:H29" si="5">TRUNC(G26*D26, 0)</f>
        <v>0</v>
      </c>
      <c r="I26" s="139"/>
      <c r="J26" s="139">
        <f t="shared" ref="J26:J29" si="6">TRUNC(I26*D26, 0)</f>
        <v>0</v>
      </c>
      <c r="K26" s="139">
        <f t="shared" ref="K26:L29" si="7">TRUNC(E26+G26+I26, 0)</f>
        <v>0</v>
      </c>
      <c r="L26" s="139">
        <f t="shared" si="7"/>
        <v>0</v>
      </c>
      <c r="M26" s="140" t="s">
        <v>49</v>
      </c>
      <c r="N26" s="158" t="s">
        <v>178</v>
      </c>
      <c r="O26" s="158" t="s">
        <v>49</v>
      </c>
      <c r="P26" s="158" t="s">
        <v>49</v>
      </c>
      <c r="Q26" s="158" t="s">
        <v>58</v>
      </c>
      <c r="R26" s="158" t="s">
        <v>53</v>
      </c>
      <c r="S26" s="158" t="s">
        <v>53</v>
      </c>
      <c r="T26" s="158" t="s">
        <v>52</v>
      </c>
      <c r="X26">
        <v>1</v>
      </c>
      <c r="AR26" s="158" t="s">
        <v>49</v>
      </c>
      <c r="AS26" s="158" t="s">
        <v>49</v>
      </c>
      <c r="AU26" s="158" t="s">
        <v>177</v>
      </c>
      <c r="AV26">
        <v>1622</v>
      </c>
      <c r="AW26">
        <f>SUM(D26:D27)</f>
        <v>3076</v>
      </c>
      <c r="AY26">
        <f>AW9+AW26</f>
        <v>3496.9139999999998</v>
      </c>
    </row>
    <row r="27" spans="1:51" ht="30" customHeight="1">
      <c r="A27" s="155" t="s">
        <v>207</v>
      </c>
      <c r="B27" s="155"/>
      <c r="C27" s="155" t="s">
        <v>56</v>
      </c>
      <c r="D27" s="6">
        <v>1225</v>
      </c>
      <c r="E27" s="139"/>
      <c r="F27" s="139">
        <f t="shared" si="4"/>
        <v>0</v>
      </c>
      <c r="G27" s="139"/>
      <c r="H27" s="139">
        <f t="shared" si="5"/>
        <v>0</v>
      </c>
      <c r="I27" s="139"/>
      <c r="J27" s="139">
        <f t="shared" si="6"/>
        <v>0</v>
      </c>
      <c r="K27" s="139">
        <f t="shared" si="7"/>
        <v>0</v>
      </c>
      <c r="L27" s="139">
        <f t="shared" si="7"/>
        <v>0</v>
      </c>
      <c r="M27" s="140" t="s">
        <v>49</v>
      </c>
      <c r="N27" s="158" t="s">
        <v>176</v>
      </c>
      <c r="O27" s="158" t="s">
        <v>49</v>
      </c>
      <c r="P27" s="158" t="s">
        <v>49</v>
      </c>
      <c r="Q27" s="158" t="s">
        <v>58</v>
      </c>
      <c r="R27" s="158" t="s">
        <v>53</v>
      </c>
      <c r="S27" s="158" t="s">
        <v>53</v>
      </c>
      <c r="T27" s="158" t="s">
        <v>52</v>
      </c>
      <c r="X27">
        <v>1</v>
      </c>
      <c r="AR27" s="158" t="s">
        <v>49</v>
      </c>
      <c r="AS27" s="158" t="s">
        <v>49</v>
      </c>
      <c r="AU27" s="158" t="s">
        <v>175</v>
      </c>
      <c r="AV27">
        <v>1623</v>
      </c>
    </row>
    <row r="28" spans="1:51" ht="30" customHeight="1">
      <c r="A28" s="155" t="s">
        <v>208</v>
      </c>
      <c r="B28" s="155" t="s">
        <v>196</v>
      </c>
      <c r="C28" s="155" t="s">
        <v>56</v>
      </c>
      <c r="D28" s="6">
        <v>624</v>
      </c>
      <c r="E28" s="139"/>
      <c r="F28" s="139">
        <f t="shared" si="4"/>
        <v>0</v>
      </c>
      <c r="G28" s="139"/>
      <c r="H28" s="139">
        <f t="shared" si="5"/>
        <v>0</v>
      </c>
      <c r="I28" s="139"/>
      <c r="J28" s="139">
        <f t="shared" si="6"/>
        <v>0</v>
      </c>
      <c r="K28" s="139">
        <f t="shared" si="7"/>
        <v>0</v>
      </c>
      <c r="L28" s="139">
        <f t="shared" si="7"/>
        <v>0</v>
      </c>
      <c r="M28" s="140" t="s">
        <v>49</v>
      </c>
      <c r="N28" s="158" t="s">
        <v>174</v>
      </c>
      <c r="O28" s="158" t="s">
        <v>49</v>
      </c>
      <c r="P28" s="158" t="s">
        <v>49</v>
      </c>
      <c r="Q28" s="158" t="s">
        <v>58</v>
      </c>
      <c r="R28" s="158" t="s">
        <v>53</v>
      </c>
      <c r="S28" s="158" t="s">
        <v>53</v>
      </c>
      <c r="T28" s="158" t="s">
        <v>52</v>
      </c>
      <c r="X28">
        <v>1</v>
      </c>
      <c r="AR28" s="158" t="s">
        <v>49</v>
      </c>
      <c r="AS28" s="158" t="s">
        <v>49</v>
      </c>
      <c r="AU28" s="158" t="s">
        <v>173</v>
      </c>
      <c r="AV28">
        <v>1624</v>
      </c>
    </row>
    <row r="29" spans="1:51" ht="30" customHeight="1">
      <c r="A29" s="155" t="s">
        <v>209</v>
      </c>
      <c r="B29" s="155" t="s">
        <v>49</v>
      </c>
      <c r="C29" s="155" t="s">
        <v>56</v>
      </c>
      <c r="D29" s="6">
        <v>2</v>
      </c>
      <c r="E29" s="154"/>
      <c r="F29" s="139">
        <f t="shared" si="4"/>
        <v>0</v>
      </c>
      <c r="G29" s="139"/>
      <c r="H29" s="139">
        <f t="shared" si="5"/>
        <v>0</v>
      </c>
      <c r="I29" s="139"/>
      <c r="J29" s="139">
        <f t="shared" si="6"/>
        <v>0</v>
      </c>
      <c r="K29" s="139">
        <f t="shared" si="7"/>
        <v>0</v>
      </c>
      <c r="L29" s="139">
        <f t="shared" si="7"/>
        <v>0</v>
      </c>
      <c r="M29" s="140" t="s">
        <v>49</v>
      </c>
      <c r="N29" s="158" t="s">
        <v>171</v>
      </c>
      <c r="O29" s="158" t="s">
        <v>49</v>
      </c>
      <c r="P29" s="158" t="s">
        <v>49</v>
      </c>
      <c r="Q29" s="158" t="s">
        <v>58</v>
      </c>
      <c r="R29" s="158" t="s">
        <v>53</v>
      </c>
      <c r="S29" s="158" t="s">
        <v>53</v>
      </c>
      <c r="T29" s="158" t="s">
        <v>52</v>
      </c>
      <c r="X29">
        <v>1</v>
      </c>
      <c r="AR29" s="158" t="s">
        <v>49</v>
      </c>
      <c r="AS29" s="158" t="s">
        <v>49</v>
      </c>
      <c r="AU29" s="158" t="s">
        <v>170</v>
      </c>
      <c r="AV29">
        <v>1628</v>
      </c>
    </row>
    <row r="30" spans="1:51" ht="30" customHeight="1">
      <c r="A30" s="140"/>
      <c r="B30" s="140"/>
      <c r="C30" s="140"/>
      <c r="D30" s="6"/>
      <c r="E30" s="139"/>
      <c r="F30" s="139"/>
      <c r="G30" s="139"/>
      <c r="H30" s="139"/>
      <c r="I30" s="139"/>
      <c r="J30" s="139"/>
      <c r="K30" s="139"/>
      <c r="L30" s="139"/>
      <c r="M30" s="140" t="s">
        <v>49</v>
      </c>
      <c r="N30" s="158" t="s">
        <v>168</v>
      </c>
      <c r="O30" s="158" t="s">
        <v>49</v>
      </c>
      <c r="P30" s="158" t="s">
        <v>49</v>
      </c>
      <c r="Q30" s="158" t="s">
        <v>58</v>
      </c>
      <c r="R30" s="158" t="s">
        <v>53</v>
      </c>
      <c r="S30" s="158" t="s">
        <v>53</v>
      </c>
      <c r="T30" s="158" t="s">
        <v>52</v>
      </c>
      <c r="X30">
        <v>1</v>
      </c>
      <c r="AR30" s="158" t="s">
        <v>49</v>
      </c>
      <c r="AS30" s="158" t="s">
        <v>49</v>
      </c>
      <c r="AU30" s="158" t="s">
        <v>167</v>
      </c>
      <c r="AV30">
        <v>1629</v>
      </c>
    </row>
    <row r="31" spans="1:51" ht="30" customHeight="1">
      <c r="A31" s="140"/>
      <c r="B31" s="140"/>
      <c r="C31" s="140"/>
      <c r="D31" s="6"/>
      <c r="E31" s="139"/>
      <c r="F31" s="139"/>
      <c r="G31" s="139"/>
      <c r="H31" s="139"/>
      <c r="I31" s="139"/>
      <c r="J31" s="139"/>
      <c r="K31" s="139"/>
      <c r="L31" s="139"/>
      <c r="M31" s="140" t="s">
        <v>49</v>
      </c>
      <c r="N31" s="158" t="s">
        <v>166</v>
      </c>
      <c r="O31" s="158" t="s">
        <v>49</v>
      </c>
      <c r="P31" s="158" t="s">
        <v>49</v>
      </c>
      <c r="Q31" s="158" t="s">
        <v>58</v>
      </c>
      <c r="R31" s="158" t="s">
        <v>53</v>
      </c>
      <c r="S31" s="158" t="s">
        <v>53</v>
      </c>
      <c r="T31" s="158" t="s">
        <v>52</v>
      </c>
      <c r="X31">
        <v>1</v>
      </c>
      <c r="AR31" s="158" t="s">
        <v>49</v>
      </c>
      <c r="AS31" s="158" t="s">
        <v>49</v>
      </c>
      <c r="AU31" s="158" t="s">
        <v>165</v>
      </c>
      <c r="AV31">
        <v>1630</v>
      </c>
    </row>
    <row r="32" spans="1:51" ht="30" customHeight="1">
      <c r="A32" s="140"/>
      <c r="B32" s="140"/>
      <c r="C32" s="140"/>
      <c r="D32" s="6"/>
      <c r="E32" s="139"/>
      <c r="F32" s="139"/>
      <c r="G32" s="139"/>
      <c r="H32" s="139"/>
      <c r="I32" s="139"/>
      <c r="J32" s="139"/>
      <c r="K32" s="139"/>
      <c r="L32" s="139"/>
      <c r="M32" s="140" t="s">
        <v>49</v>
      </c>
      <c r="N32" s="158" t="s">
        <v>164</v>
      </c>
      <c r="O32" s="158" t="s">
        <v>49</v>
      </c>
      <c r="P32" s="158" t="s">
        <v>49</v>
      </c>
      <c r="Q32" s="158" t="s">
        <v>58</v>
      </c>
      <c r="R32" s="158" t="s">
        <v>53</v>
      </c>
      <c r="S32" s="158" t="s">
        <v>53</v>
      </c>
      <c r="T32" s="158" t="s">
        <v>53</v>
      </c>
      <c r="AR32" s="158" t="s">
        <v>49</v>
      </c>
      <c r="AS32" s="158" t="s">
        <v>49</v>
      </c>
      <c r="AU32" s="158" t="s">
        <v>163</v>
      </c>
      <c r="AV32">
        <v>1632</v>
      </c>
    </row>
    <row r="33" spans="1:17" ht="30" customHeight="1">
      <c r="A33" s="6"/>
      <c r="B33" s="6"/>
      <c r="C33" s="6"/>
      <c r="D33" s="6"/>
      <c r="E33" s="139"/>
      <c r="F33" s="139"/>
      <c r="G33" s="139"/>
      <c r="H33" s="139"/>
      <c r="I33" s="139"/>
      <c r="J33" s="139"/>
      <c r="K33" s="139"/>
      <c r="L33" s="139"/>
      <c r="M33" s="6"/>
      <c r="Q33" s="158" t="s">
        <v>58</v>
      </c>
    </row>
    <row r="34" spans="1:17" ht="30" customHeight="1">
      <c r="A34" s="6"/>
      <c r="B34" s="6"/>
      <c r="C34" s="6"/>
      <c r="D34" s="6"/>
      <c r="E34" s="139"/>
      <c r="F34" s="139"/>
      <c r="G34" s="139"/>
      <c r="H34" s="139"/>
      <c r="I34" s="139"/>
      <c r="J34" s="139"/>
      <c r="K34" s="139"/>
      <c r="L34" s="139"/>
      <c r="M34" s="6"/>
      <c r="Q34" s="158" t="s">
        <v>58</v>
      </c>
    </row>
    <row r="35" spans="1:17" ht="30" customHeight="1">
      <c r="A35" s="6"/>
      <c r="B35" s="6"/>
      <c r="C35" s="6"/>
      <c r="D35" s="6"/>
      <c r="E35" s="139"/>
      <c r="F35" s="139"/>
      <c r="G35" s="139"/>
      <c r="H35" s="139"/>
      <c r="I35" s="139"/>
      <c r="J35" s="139"/>
      <c r="K35" s="139"/>
      <c r="L35" s="139"/>
      <c r="M35" s="6"/>
      <c r="Q35" s="158" t="s">
        <v>58</v>
      </c>
    </row>
    <row r="36" spans="1:17" ht="30" customHeight="1">
      <c r="A36" s="6"/>
      <c r="B36" s="6"/>
      <c r="C36" s="6"/>
      <c r="D36" s="6"/>
      <c r="E36" s="139"/>
      <c r="F36" s="139"/>
      <c r="G36" s="139"/>
      <c r="H36" s="139"/>
      <c r="I36" s="139"/>
      <c r="J36" s="139"/>
      <c r="K36" s="139"/>
      <c r="L36" s="139"/>
      <c r="M36" s="6"/>
      <c r="Q36" s="158" t="s">
        <v>58</v>
      </c>
    </row>
    <row r="37" spans="1:17" ht="30" customHeight="1">
      <c r="A37" s="6"/>
      <c r="B37" s="6"/>
      <c r="C37" s="6"/>
      <c r="D37" s="6"/>
      <c r="E37" s="139"/>
      <c r="F37" s="139"/>
      <c r="G37" s="139"/>
      <c r="H37" s="139"/>
      <c r="I37" s="139"/>
      <c r="J37" s="139"/>
      <c r="K37" s="139"/>
      <c r="L37" s="139"/>
      <c r="M37" s="6"/>
      <c r="Q37" s="158" t="s">
        <v>58</v>
      </c>
    </row>
    <row r="38" spans="1:17" ht="30" customHeight="1">
      <c r="A38" s="6"/>
      <c r="B38" s="6"/>
      <c r="C38" s="6"/>
      <c r="D38" s="6"/>
      <c r="E38" s="139"/>
      <c r="F38" s="139"/>
      <c r="G38" s="139"/>
      <c r="H38" s="139"/>
      <c r="I38" s="139"/>
      <c r="J38" s="139"/>
      <c r="K38" s="139"/>
      <c r="L38" s="139"/>
      <c r="M38" s="6"/>
      <c r="Q38" s="158" t="s">
        <v>58</v>
      </c>
    </row>
    <row r="39" spans="1:17" ht="30" customHeight="1">
      <c r="A39" s="6"/>
      <c r="B39" s="6"/>
      <c r="C39" s="6"/>
      <c r="D39" s="6"/>
      <c r="E39" s="139"/>
      <c r="F39" s="139"/>
      <c r="G39" s="139"/>
      <c r="H39" s="139"/>
      <c r="I39" s="139"/>
      <c r="J39" s="139"/>
      <c r="K39" s="139"/>
      <c r="L39" s="139"/>
      <c r="M39" s="6"/>
      <c r="Q39" s="158" t="s">
        <v>58</v>
      </c>
    </row>
    <row r="40" spans="1:17" ht="30" customHeight="1">
      <c r="A40" s="6"/>
      <c r="B40" s="6"/>
      <c r="C40" s="6"/>
      <c r="D40" s="6"/>
      <c r="E40" s="139"/>
      <c r="F40" s="139"/>
      <c r="G40" s="139"/>
      <c r="H40" s="139"/>
      <c r="I40" s="139"/>
      <c r="J40" s="139"/>
      <c r="K40" s="139"/>
      <c r="L40" s="139"/>
      <c r="M40" s="6"/>
      <c r="Q40" s="158" t="s">
        <v>58</v>
      </c>
    </row>
    <row r="41" spans="1:17" ht="30" customHeight="1">
      <c r="A41" s="6"/>
      <c r="B41" s="6"/>
      <c r="C41" s="6"/>
      <c r="D41" s="6"/>
      <c r="E41" s="139"/>
      <c r="F41" s="139"/>
      <c r="G41" s="139"/>
      <c r="H41" s="139"/>
      <c r="I41" s="139"/>
      <c r="J41" s="139"/>
      <c r="K41" s="139"/>
      <c r="L41" s="139"/>
      <c r="M41" s="6"/>
      <c r="Q41" s="158" t="s">
        <v>58</v>
      </c>
    </row>
    <row r="42" spans="1:17" ht="30" customHeight="1">
      <c r="A42" s="6"/>
      <c r="B42" s="6"/>
      <c r="C42" s="6"/>
      <c r="D42" s="6"/>
      <c r="E42" s="139"/>
      <c r="F42" s="139"/>
      <c r="G42" s="139"/>
      <c r="H42" s="139"/>
      <c r="I42" s="139"/>
      <c r="J42" s="139"/>
      <c r="K42" s="139"/>
      <c r="L42" s="139"/>
      <c r="M42" s="6"/>
      <c r="Q42" s="158" t="s">
        <v>58</v>
      </c>
    </row>
    <row r="43" spans="1:17" ht="30" customHeight="1">
      <c r="A43" s="6"/>
      <c r="B43" s="6"/>
      <c r="C43" s="6"/>
      <c r="D43" s="6"/>
      <c r="E43" s="139"/>
      <c r="F43" s="139"/>
      <c r="G43" s="139"/>
      <c r="H43" s="139"/>
      <c r="I43" s="139"/>
      <c r="J43" s="139"/>
      <c r="K43" s="139"/>
      <c r="L43" s="139"/>
      <c r="M43" s="6"/>
      <c r="Q43" s="158" t="s">
        <v>58</v>
      </c>
    </row>
    <row r="44" spans="1:17" ht="30" customHeight="1">
      <c r="A44" s="6"/>
      <c r="B44" s="6"/>
      <c r="C44" s="6"/>
      <c r="D44" s="6"/>
      <c r="E44" s="139"/>
      <c r="F44" s="139"/>
      <c r="G44" s="139"/>
      <c r="H44" s="139"/>
      <c r="I44" s="139"/>
      <c r="J44" s="139"/>
      <c r="K44" s="139"/>
      <c r="L44" s="139"/>
      <c r="M44" s="6"/>
      <c r="Q44" s="158" t="s">
        <v>58</v>
      </c>
    </row>
    <row r="45" spans="1:17" ht="30" customHeight="1">
      <c r="A45" s="140" t="s">
        <v>54</v>
      </c>
      <c r="B45" s="6"/>
      <c r="C45" s="6"/>
      <c r="D45" s="6"/>
      <c r="E45" s="139"/>
      <c r="F45" s="139">
        <f>SUMIF(Q26:Q44,"010120",F26:F44)</f>
        <v>0</v>
      </c>
      <c r="G45" s="139"/>
      <c r="H45" s="139">
        <f>SUMIF(Q26:Q44,"010120",H26:H44)</f>
        <v>0</v>
      </c>
      <c r="I45" s="139"/>
      <c r="J45" s="139">
        <f>SUMIF(Q26:Q44,"010120",J26:J44)</f>
        <v>0</v>
      </c>
      <c r="K45" s="139"/>
      <c r="L45" s="139">
        <f>SUMIF(Q26:Q44,"010120",L26:L44)</f>
        <v>0</v>
      </c>
      <c r="M45" s="6"/>
      <c r="N45" t="s">
        <v>55</v>
      </c>
    </row>
  </sheetData>
  <mergeCells count="44">
    <mergeCell ref="AU2:AU3"/>
    <mergeCell ref="AV2:AV3"/>
    <mergeCell ref="AO2:AO3"/>
    <mergeCell ref="AP2:AP3"/>
    <mergeCell ref="AQ2:AQ3"/>
    <mergeCell ref="AR2:AR3"/>
    <mergeCell ref="AS2:AS3"/>
    <mergeCell ref="AT2:AT3"/>
    <mergeCell ref="AN2:AN3"/>
    <mergeCell ref="AC2:AC3"/>
    <mergeCell ref="AD2:AD3"/>
    <mergeCell ref="AE2:AE3"/>
    <mergeCell ref="AF2:AF3"/>
    <mergeCell ref="AG2:AG3"/>
    <mergeCell ref="AM2:AM3"/>
    <mergeCell ref="AH2:AH3"/>
    <mergeCell ref="AI2:AI3"/>
    <mergeCell ref="AJ2:AJ3"/>
    <mergeCell ref="AK2:AK3"/>
    <mergeCell ref="AL2:AL3"/>
    <mergeCell ref="N2:N3"/>
    <mergeCell ref="O2:O3"/>
    <mergeCell ref="AB2:AB3"/>
    <mergeCell ref="Q2:Q3"/>
    <mergeCell ref="R2:R3"/>
    <mergeCell ref="S2:S3"/>
    <mergeCell ref="T2:T3"/>
    <mergeCell ref="U2:U3"/>
    <mergeCell ref="V2:V3"/>
    <mergeCell ref="W2:W3"/>
    <mergeCell ref="P2:P3"/>
    <mergeCell ref="X2:X3"/>
    <mergeCell ref="Y2:Y3"/>
    <mergeCell ref="Z2:Z3"/>
    <mergeCell ref="AA2:AA3"/>
    <mergeCell ref="G2:H2"/>
    <mergeCell ref="I2:J2"/>
    <mergeCell ref="K2:L2"/>
    <mergeCell ref="M2:M3"/>
    <mergeCell ref="A2:A3"/>
    <mergeCell ref="B2:B3"/>
    <mergeCell ref="C2:C3"/>
    <mergeCell ref="D2:D3"/>
    <mergeCell ref="E2:F2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58" fitToHeight="0" orientation="landscape" r:id="rId1"/>
  <rowBreaks count="1" manualBreakCount="1">
    <brk id="2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7</vt:i4>
      </vt:variant>
    </vt:vector>
  </HeadingPairs>
  <TitlesOfParts>
    <vt:vector size="12" baseType="lpstr">
      <vt:lpstr>표지</vt:lpstr>
      <vt:lpstr>원가</vt:lpstr>
      <vt:lpstr>공종별총괄표</vt:lpstr>
      <vt:lpstr>건축_공종별내역서_AI타워</vt:lpstr>
      <vt:lpstr>건축_공종별내역서_신규주차장</vt:lpstr>
      <vt:lpstr>건축_공종별내역서_AI타워!Print_Area</vt:lpstr>
      <vt:lpstr>건축_공종별내역서_신규주차장!Print_Area</vt:lpstr>
      <vt:lpstr>공종별총괄표!Print_Area</vt:lpstr>
      <vt:lpstr>원가!Print_Area</vt:lpstr>
      <vt:lpstr>표지!Print_Area</vt:lpstr>
      <vt:lpstr>건축_공종별내역서_AI타워!Print_Titles</vt:lpstr>
      <vt:lpstr>건축_공종별내역서_신규주차장!Print_Titles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지윤 한</dc:creator>
  <cp:lastModifiedBy>GC</cp:lastModifiedBy>
  <cp:lastPrinted>2026-06-23T00:43:15Z</cp:lastPrinted>
  <dcterms:created xsi:type="dcterms:W3CDTF">2026-03-18T08:26:29Z</dcterms:created>
  <dcterms:modified xsi:type="dcterms:W3CDTF">2026-08-05T04:50:52Z</dcterms:modified>
</cp:coreProperties>
</file>